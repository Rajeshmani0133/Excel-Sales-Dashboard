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1BA4DA8B3F3F845/Documents/"/>
    </mc:Choice>
  </mc:AlternateContent>
  <xr:revisionPtr revIDLastSave="489" documentId="8_{4787ABDF-108A-4BEE-8944-64DB53F491A8}" xr6:coauthVersionLast="47" xr6:coauthVersionMax="47" xr10:uidLastSave="{E497BE65-5C3A-403E-89E5-7FD1FE49AA96}"/>
  <bookViews>
    <workbookView xWindow="-120" yWindow="-120" windowWidth="29040" windowHeight="17520" xr2:uid="{A089789A-B438-4361-A4C6-D83A05800C56}"/>
  </bookViews>
  <sheets>
    <sheet name="Dashboard" sheetId="3" r:id="rId1"/>
    <sheet name="Sheet1" sheetId="1" r:id="rId2"/>
    <sheet name="Pivot Table" sheetId="2"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2" l="1"/>
  <c r="J51" i="2"/>
  <c r="J52" i="2"/>
  <c r="J50" i="2"/>
  <c r="K5" i="1"/>
  <c r="K8" i="1"/>
  <c r="K11" i="1"/>
  <c r="I3" i="1"/>
  <c r="I4" i="1"/>
  <c r="I5" i="1"/>
  <c r="I6" i="1"/>
  <c r="I7" i="1"/>
  <c r="I8" i="1"/>
  <c r="I9" i="1"/>
  <c r="I10" i="1"/>
  <c r="I11" i="1"/>
  <c r="I12" i="1"/>
  <c r="I13" i="1"/>
  <c r="I14" i="1"/>
  <c r="I15" i="1"/>
  <c r="I16" i="1"/>
  <c r="I17" i="1"/>
  <c r="I18" i="1"/>
  <c r="I19" i="1"/>
  <c r="I20" i="1"/>
  <c r="I21" i="1"/>
  <c r="I22" i="1"/>
  <c r="F3" i="1"/>
  <c r="G3" i="1"/>
  <c r="H3" i="1"/>
  <c r="F4" i="1"/>
  <c r="G4" i="1"/>
  <c r="H4" i="1"/>
  <c r="F5" i="1"/>
  <c r="G5" i="1"/>
  <c r="H5" i="1"/>
  <c r="F6" i="1"/>
  <c r="G6" i="1"/>
  <c r="H6" i="1"/>
  <c r="F7" i="1"/>
  <c r="G7" i="1"/>
  <c r="H7" i="1"/>
  <c r="F8" i="1"/>
  <c r="G8" i="1"/>
  <c r="H8" i="1"/>
  <c r="F9" i="1"/>
  <c r="G9" i="1"/>
  <c r="H9" i="1"/>
  <c r="F10" i="1"/>
  <c r="G10" i="1"/>
  <c r="H10" i="1"/>
  <c r="F11" i="1"/>
  <c r="G11" i="1"/>
  <c r="H11" i="1"/>
  <c r="F12" i="1"/>
  <c r="G12" i="1"/>
  <c r="H12" i="1"/>
  <c r="F13" i="1"/>
  <c r="G13" i="1"/>
  <c r="H13" i="1"/>
  <c r="F14" i="1"/>
  <c r="G14" i="1"/>
  <c r="H14" i="1"/>
  <c r="F15" i="1"/>
  <c r="G15" i="1"/>
  <c r="H15" i="1"/>
  <c r="F16" i="1"/>
  <c r="G16" i="1"/>
  <c r="H16" i="1"/>
  <c r="F17" i="1"/>
  <c r="G17" i="1"/>
  <c r="H17" i="1"/>
  <c r="F18" i="1"/>
  <c r="G18" i="1"/>
  <c r="H18" i="1"/>
  <c r="F19" i="1"/>
  <c r="G19" i="1"/>
  <c r="H19" i="1"/>
  <c r="F20" i="1"/>
  <c r="G20" i="1"/>
  <c r="H20" i="1"/>
  <c r="F21" i="1"/>
  <c r="G21" i="1"/>
  <c r="H21" i="1"/>
  <c r="F22" i="1"/>
  <c r="G22" i="1"/>
  <c r="H22" i="1"/>
  <c r="F23" i="1"/>
  <c r="G23" i="1"/>
  <c r="H23" i="1"/>
  <c r="I23" i="1" s="1"/>
  <c r="F24" i="1"/>
  <c r="G24" i="1"/>
  <c r="H24" i="1"/>
  <c r="I24" i="1" s="1"/>
  <c r="F25" i="1"/>
  <c r="G25" i="1"/>
  <c r="H25" i="1"/>
  <c r="I25" i="1" s="1"/>
  <c r="F26" i="1"/>
  <c r="G26" i="1"/>
  <c r="H26" i="1"/>
  <c r="I26" i="1" s="1"/>
  <c r="F27" i="1"/>
  <c r="G27" i="1"/>
  <c r="H27" i="1"/>
  <c r="I27" i="1" s="1"/>
  <c r="F28" i="1"/>
  <c r="G28" i="1"/>
  <c r="H28" i="1"/>
  <c r="I28" i="1" s="1"/>
  <c r="F29" i="1"/>
  <c r="G29" i="1"/>
  <c r="H29" i="1"/>
  <c r="I29" i="1" s="1"/>
  <c r="F30" i="1"/>
  <c r="G30" i="1"/>
  <c r="H30" i="1"/>
  <c r="I30" i="1" s="1"/>
  <c r="F31" i="1"/>
  <c r="G31" i="1"/>
  <c r="H31" i="1"/>
  <c r="I31" i="1" s="1"/>
  <c r="F32" i="1"/>
  <c r="G32" i="1"/>
  <c r="H32" i="1"/>
  <c r="I32" i="1" s="1"/>
  <c r="F33" i="1"/>
  <c r="G33" i="1"/>
  <c r="H33" i="1"/>
  <c r="I33" i="1" s="1"/>
  <c r="F34" i="1"/>
  <c r="G34" i="1"/>
  <c r="H34" i="1"/>
  <c r="I34" i="1" s="1"/>
  <c r="F35" i="1"/>
  <c r="G35" i="1"/>
  <c r="H35" i="1"/>
  <c r="I35" i="1" s="1"/>
  <c r="F36" i="1"/>
  <c r="G36" i="1"/>
  <c r="H36" i="1"/>
  <c r="I36" i="1" s="1"/>
  <c r="F37" i="1"/>
  <c r="G37" i="1"/>
  <c r="H37" i="1"/>
  <c r="I37" i="1" s="1"/>
  <c r="F38" i="1"/>
  <c r="G38" i="1"/>
  <c r="H38" i="1"/>
  <c r="I38" i="1" s="1"/>
  <c r="F39" i="1"/>
  <c r="G39" i="1"/>
  <c r="H39" i="1"/>
  <c r="I39" i="1" s="1"/>
  <c r="F40" i="1"/>
  <c r="G40" i="1"/>
  <c r="H40" i="1"/>
  <c r="I40" i="1" s="1"/>
  <c r="F41" i="1"/>
  <c r="G41" i="1"/>
  <c r="H41" i="1"/>
  <c r="I41" i="1" s="1"/>
  <c r="F42" i="1"/>
  <c r="G42" i="1"/>
  <c r="H42" i="1"/>
  <c r="I42" i="1" s="1"/>
  <c r="F43" i="1"/>
  <c r="G43" i="1"/>
  <c r="H43" i="1"/>
  <c r="I43" i="1" s="1"/>
  <c r="F44" i="1"/>
  <c r="G44" i="1"/>
  <c r="H44" i="1"/>
  <c r="I44" i="1" s="1"/>
  <c r="F45" i="1"/>
  <c r="G45" i="1"/>
  <c r="H45" i="1"/>
  <c r="I45" i="1" s="1"/>
  <c r="F46" i="1"/>
  <c r="G46" i="1"/>
  <c r="H46" i="1"/>
  <c r="I46" i="1" s="1"/>
  <c r="F47" i="1"/>
  <c r="G47" i="1"/>
  <c r="H47" i="1"/>
  <c r="I47" i="1" s="1"/>
  <c r="F48" i="1"/>
  <c r="G48" i="1"/>
  <c r="H48" i="1"/>
  <c r="I48" i="1" s="1"/>
  <c r="F49" i="1"/>
  <c r="G49" i="1"/>
  <c r="H49" i="1"/>
  <c r="I49" i="1" s="1"/>
  <c r="F50" i="1"/>
  <c r="G50" i="1"/>
  <c r="H50" i="1"/>
  <c r="I50" i="1" s="1"/>
  <c r="F51" i="1"/>
  <c r="G51" i="1"/>
  <c r="H51" i="1"/>
  <c r="I51" i="1" s="1"/>
  <c r="G2" i="1"/>
  <c r="F2" i="1"/>
  <c r="H2" i="1" s="1"/>
  <c r="I2" i="1" l="1"/>
  <c r="K2" i="1"/>
</calcChain>
</file>

<file path=xl/sharedStrings.xml><?xml version="1.0" encoding="utf-8"?>
<sst xmlns="http://schemas.openxmlformats.org/spreadsheetml/2006/main" count="244" uniqueCount="69">
  <si>
    <t>Date</t>
  </si>
  <si>
    <t>Sales Person</t>
  </si>
  <si>
    <t>Region</t>
  </si>
  <si>
    <t>Product</t>
  </si>
  <si>
    <t>Units Sold</t>
  </si>
  <si>
    <t>Unit Price</t>
  </si>
  <si>
    <t>Cost of Goods</t>
  </si>
  <si>
    <t>Total Sales</t>
  </si>
  <si>
    <t>2/19/2021</t>
  </si>
  <si>
    <t>Andrew</t>
  </si>
  <si>
    <t>West</t>
  </si>
  <si>
    <t>Tent</t>
  </si>
  <si>
    <t>Grace</t>
  </si>
  <si>
    <t>East</t>
  </si>
  <si>
    <t>Blender</t>
  </si>
  <si>
    <t>Ella</t>
  </si>
  <si>
    <t>South</t>
  </si>
  <si>
    <t>Action Figure</t>
  </si>
  <si>
    <t>Cameron</t>
  </si>
  <si>
    <t>North</t>
  </si>
  <si>
    <t>Novel</t>
  </si>
  <si>
    <t>9/23/2021</t>
  </si>
  <si>
    <t>Megan</t>
  </si>
  <si>
    <t>Sneakers</t>
  </si>
  <si>
    <t>Carolyn</t>
  </si>
  <si>
    <t>Virginia</t>
  </si>
  <si>
    <t>Connor</t>
  </si>
  <si>
    <t>1/27/2021</t>
  </si>
  <si>
    <t>Anna</t>
  </si>
  <si>
    <t>Moisturizer</t>
  </si>
  <si>
    <t>Nicholas</t>
  </si>
  <si>
    <t>9/30/2021</t>
  </si>
  <si>
    <t>7/27/2021</t>
  </si>
  <si>
    <t>6/15/2021</t>
  </si>
  <si>
    <t>8/13/2021</t>
  </si>
  <si>
    <t>8/27/2020</t>
  </si>
  <si>
    <t>Smartphone</t>
  </si>
  <si>
    <t>12/21/2021</t>
  </si>
  <si>
    <t>8/30/2021</t>
  </si>
  <si>
    <t>5/20/2020</t>
  </si>
  <si>
    <t>9/13/2021</t>
  </si>
  <si>
    <t>10/27/2021</t>
  </si>
  <si>
    <t>12/22/2020</t>
  </si>
  <si>
    <t>7/28/2021</t>
  </si>
  <si>
    <t>9/29/2020</t>
  </si>
  <si>
    <t>10/22/2020</t>
  </si>
  <si>
    <t>5/19/2020</t>
  </si>
  <si>
    <t>8/26/2020</t>
  </si>
  <si>
    <t>4/13/2021</t>
  </si>
  <si>
    <t>1/15/2021</t>
  </si>
  <si>
    <t>11/17/2021</t>
  </si>
  <si>
    <t>12/28/2020</t>
  </si>
  <si>
    <t>Profit</t>
  </si>
  <si>
    <t>Grand Total</t>
  </si>
  <si>
    <t>Unit Sold</t>
  </si>
  <si>
    <t>Total Profit</t>
  </si>
  <si>
    <t>Average Sales</t>
  </si>
  <si>
    <t>Row Labels</t>
  </si>
  <si>
    <t>Sum of Total Sales</t>
  </si>
  <si>
    <t>Sum of Units Sold</t>
  </si>
  <si>
    <t>Average of Total Sales</t>
  </si>
  <si>
    <t>Sum of Profit</t>
  </si>
  <si>
    <t>`</t>
  </si>
  <si>
    <t>Kpi</t>
  </si>
  <si>
    <t>Values</t>
  </si>
  <si>
    <t>TOTAL  SALES</t>
  </si>
  <si>
    <r>
      <t>AVERAGE</t>
    </r>
    <r>
      <rPr>
        <b/>
        <shadow/>
        <sz val="10.5"/>
        <color rgb="FF92278F"/>
        <rFont val="Aptos Narrow"/>
        <family val="2"/>
        <scheme val="minor"/>
      </rPr>
      <t xml:space="preserve"> SALES</t>
    </r>
  </si>
  <si>
    <r>
      <t xml:space="preserve">UNITS </t>
    </r>
    <r>
      <rPr>
        <b/>
        <shadow/>
        <sz val="12"/>
        <color rgb="FF92278F"/>
        <rFont val="Aptos Narrow"/>
        <family val="2"/>
        <scheme val="minor"/>
      </rPr>
      <t>SOLDS</t>
    </r>
  </si>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</sst>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Rs. &quot;\ #,##0"/>
    <numFmt numFmtId="165" formatCode="_ * #,##0_ ;_ * \-#,##0_ ;_ * &quot;-&quot;??_ ;_ @_ "/>
  </numFmts>
  <fonts count="6" x14ac:knownFonts="1">
    <font>
      <sz val="11"/>
      <color theme="1"/>
      <name val="Aptos Narrow"/>
      <family val="2"/>
      <scheme val="minor"/>
    </font>
    <font>
      <sz val="11"/>
      <color theme="1"/>
      <name val="Aptos Narrow"/>
      <family val="2"/>
      <scheme val="minor"/>
    </font>
    <font>
      <sz val="11"/>
      <color rgb="FFFFFFFF"/>
      <name val="Aptos Narrow"/>
      <family val="2"/>
      <scheme val="minor"/>
    </font>
    <font>
      <b/>
      <shadow/>
      <sz val="12"/>
      <color rgb="FF92278F"/>
      <name val="Aptos Narrow"/>
      <family val="2"/>
      <scheme val="minor"/>
    </font>
    <font>
      <b/>
      <shadow/>
      <sz val="11"/>
      <color rgb="FF92278F"/>
      <name val="Aptos Narrow"/>
      <family val="2"/>
      <scheme val="minor"/>
    </font>
    <font>
      <b/>
      <shadow/>
      <sz val="10.5"/>
      <color rgb="FF92278F"/>
      <name val="Aptos Narrow"/>
      <family val="2"/>
      <scheme val="minor"/>
    </font>
  </fonts>
  <fills count="3">
    <fill>
      <patternFill patternType="none"/>
    </fill>
    <fill>
      <patternFill patternType="gray125"/>
    </fill>
    <fill>
      <patternFill patternType="solid">
        <fgColor rgb="FF002060"/>
        <bgColor indexed="64"/>
      </patternFill>
    </fill>
  </fills>
  <borders count="8">
    <border>
      <left/>
      <right/>
      <top/>
      <bottom/>
      <diagonal/>
    </border>
    <border>
      <left style="medium">
        <color rgb="FFCCCCCC"/>
      </left>
      <right style="medium">
        <color rgb="FFCCCCCC"/>
      </right>
      <top style="medium">
        <color rgb="FFCCCCCC"/>
      </top>
      <bottom style="thick">
        <color rgb="FFFFC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style="medium">
        <color rgb="FFCCCCCC"/>
      </top>
      <bottom style="thick">
        <color rgb="FFFFC000"/>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64" fontId="0" fillId="0" borderId="0" xfId="0" applyNumberFormat="1"/>
    <xf numFmtId="0" fontId="0" fillId="0" borderId="0" xfId="0" applyAlignment="1">
      <alignment horizontal="center"/>
    </xf>
    <xf numFmtId="0" fontId="2" fillId="2" borderId="1" xfId="0" applyFont="1" applyFill="1" applyBorder="1" applyAlignment="1">
      <alignment horizontal="left" vertical="center" wrapText="1" indent="2"/>
    </xf>
    <xf numFmtId="0" fontId="2" fillId="2" borderId="3" xfId="0" applyFont="1" applyFill="1" applyBorder="1" applyAlignment="1">
      <alignment horizontal="left" vertical="center" wrapText="1" indent="2"/>
    </xf>
    <xf numFmtId="0" fontId="0" fillId="0" borderId="2" xfId="0" applyBorder="1" applyAlignment="1">
      <alignment horizontal="left" wrapText="1" indent="2"/>
    </xf>
    <xf numFmtId="164" fontId="0" fillId="0" borderId="0" xfId="0" applyNumberFormat="1" applyAlignment="1">
      <alignment horizontal="left" indent="2"/>
    </xf>
    <xf numFmtId="0" fontId="2" fillId="2" borderId="5" xfId="0" applyFont="1" applyFill="1" applyBorder="1" applyAlignment="1">
      <alignment horizontal="left" vertical="center" wrapText="1" indent="2"/>
    </xf>
    <xf numFmtId="0" fontId="0" fillId="0" borderId="6" xfId="0" applyBorder="1" applyAlignment="1">
      <alignment horizontal="left" wrapText="1" indent="2"/>
    </xf>
    <xf numFmtId="14" fontId="0" fillId="0" borderId="6" xfId="0" applyNumberFormat="1" applyBorder="1" applyAlignment="1">
      <alignment horizontal="left" wrapText="1" indent="2"/>
    </xf>
    <xf numFmtId="0" fontId="0" fillId="0" borderId="0" xfId="0" pivotButton="1"/>
    <xf numFmtId="0" fontId="0" fillId="0" borderId="0" xfId="0" applyAlignment="1">
      <alignment horizontal="left"/>
    </xf>
    <xf numFmtId="165" fontId="0" fillId="0" borderId="0" xfId="1" applyNumberFormat="1" applyFont="1" applyAlignment="1">
      <alignment horizontal="center"/>
    </xf>
    <xf numFmtId="0" fontId="2" fillId="2" borderId="4" xfId="0" applyFont="1" applyFill="1" applyBorder="1" applyAlignment="1">
      <alignment horizontal="center" vertical="center"/>
    </xf>
    <xf numFmtId="0" fontId="0" fillId="0" borderId="7" xfId="0" applyBorder="1"/>
    <xf numFmtId="0" fontId="3" fillId="0" borderId="7" xfId="0" applyFont="1" applyBorder="1"/>
    <xf numFmtId="0" fontId="4" fillId="0" borderId="7" xfId="0" applyFont="1" applyBorder="1"/>
    <xf numFmtId="0" fontId="5" fillId="0" borderId="7" xfId="0" applyFont="1" applyBorder="1"/>
    <xf numFmtId="3" fontId="0" fillId="0" borderId="7" xfId="0" applyNumberFormat="1" applyBorder="1"/>
  </cellXfs>
  <cellStyles count="2">
    <cellStyle name="Comma" xfId="1" builtinId="3"/>
    <cellStyle name="Normal" xfId="0" builtinId="0"/>
  </cellStyles>
  <dxfs count="12">
    <dxf>
      <numFmt numFmtId="164" formatCode="&quot;Rs. &quot;\ #,##0"/>
      <alignment horizontal="left" vertical="bottom" textRotation="0" wrapText="0" indent="2" justifyLastLine="0" shrinkToFit="0" readingOrder="0"/>
    </dxf>
    <dxf>
      <numFmt numFmtId="164" formatCode="&quot;Rs. &quot;\ #,##0"/>
      <alignment horizontal="left" vertical="bottom" textRotation="0" wrapText="0" indent="2" justifyLastLine="0" shrinkToFit="0" readingOrder="0"/>
    </dxf>
    <dxf>
      <numFmt numFmtId="164" formatCode="&quot;Rs. &quot;\ #,##0"/>
      <alignment horizontal="left" vertical="bottom" textRotation="0" wrapText="0" indent="2" justifyLastLine="0" shrinkToFit="0" readingOrder="0"/>
    </dxf>
    <dxf>
      <numFmt numFmtId="164" formatCode="&quot;Rs. &quot;\ #,##0"/>
      <alignment horizontal="left" vertical="bottom" textRotation="0" wrapText="0" indent="2" justifyLastLine="0" shrinkToFit="0" readingOrder="0"/>
    </dxf>
    <dxf>
      <alignment horizontal="left" vertical="bottom" textRotation="0" wrapText="1" indent="2"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left" vertical="bottom" textRotation="0" wrapText="1" indent="2"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left" vertical="bottom" textRotation="0" wrapText="1" indent="2"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left" vertical="bottom" textRotation="0" wrapText="1" indent="2"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left" vertical="bottom" textRotation="0" wrapText="1" indent="2"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border>
    </dxf>
    <dxf>
      <alignment horizontal="left" vertical="bottom" textRotation="0" wrapText="0" indent="2" justifyLastLine="0" shrinkToFit="0" readingOrder="0"/>
    </dxf>
    <dxf>
      <font>
        <b val="0"/>
        <i val="0"/>
        <strike val="0"/>
        <condense val="0"/>
        <extend val="0"/>
        <outline val="0"/>
        <shadow val="0"/>
        <u val="none"/>
        <vertAlign val="baseline"/>
        <sz val="11"/>
        <color rgb="FFFFFFFF"/>
        <name val="Aptos Narrow"/>
        <family val="2"/>
        <scheme val="minor"/>
      </font>
      <fill>
        <patternFill patternType="solid">
          <fgColor indexed="64"/>
          <bgColor rgb="FF002060"/>
        </patternFill>
      </fill>
      <alignment horizontal="left" vertical="center" textRotation="0" wrapText="1" indent="2"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18"/>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
          <c:idx val="0"/>
          <c:spPr>
            <a:solidFill>
              <a:schemeClr val="accent4">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29012463116129E-2"/>
          <c:y val="0.17529410158611214"/>
          <c:w val="0.84999669755925467"/>
          <c:h val="0.56292689171298849"/>
        </c:manualLayout>
      </c:layout>
      <c:lineChart>
        <c:grouping val="standard"/>
        <c:varyColors val="0"/>
        <c:ser>
          <c:idx val="0"/>
          <c:order val="0"/>
          <c:tx>
            <c:strRef>
              <c:f>'Pivot Table'!$E$1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s>
            <c:spPr>
              <a:solidFill>
                <a:schemeClr val="accent4">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Table'!$D$2:$D$9</c:f>
              <c:strCache>
                <c:ptCount val="7"/>
                <c:pt idx="0">
                  <c:v>Action Figure</c:v>
                </c:pt>
                <c:pt idx="1">
                  <c:v>Blender</c:v>
                </c:pt>
                <c:pt idx="2">
                  <c:v>Moisturizer</c:v>
                </c:pt>
                <c:pt idx="3">
                  <c:v>Novel</c:v>
                </c:pt>
                <c:pt idx="4">
                  <c:v>Smartphone</c:v>
                </c:pt>
                <c:pt idx="5">
                  <c:v>Sneakers</c:v>
                </c:pt>
                <c:pt idx="6">
                  <c:v>Tent</c:v>
                </c:pt>
              </c:strCache>
            </c:strRef>
          </c:cat>
          <c:val>
            <c:numRef>
              <c:f>'Pivot Table'!$E$2:$E$9</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DCF4-4770-B989-87722D3B4A1B}"/>
            </c:ext>
          </c:extLst>
        </c:ser>
        <c:dLbls>
          <c:dLblPos val="t"/>
          <c:showLegendKey val="0"/>
          <c:showVal val="1"/>
          <c:showCatName val="0"/>
          <c:showSerName val="0"/>
          <c:showPercent val="0"/>
          <c:showBubbleSize val="0"/>
        </c:dLbls>
        <c:dropLines>
          <c:spPr>
            <a:ln w="25400" cap="flat" cmpd="sng" algn="ctr">
              <a:solidFill>
                <a:schemeClr val="accent4">
                  <a:lumMod val="50000"/>
                </a:schemeClr>
              </a:solidFill>
              <a:round/>
            </a:ln>
            <a:effectLst/>
          </c:spPr>
        </c:dropLines>
        <c:marker val="1"/>
        <c:smooth val="0"/>
        <c:axId val="784894656"/>
        <c:axId val="641976976"/>
      </c:lineChart>
      <c:catAx>
        <c:axId val="784894656"/>
        <c:scaling>
          <c:orientation val="minMax"/>
        </c:scaling>
        <c:delete val="0"/>
        <c:axPos val="b"/>
        <c:numFmt formatCode="General" sourceLinked="1"/>
        <c:majorTickMark val="none"/>
        <c:minorTickMark val="none"/>
        <c:tickLblPos val="nextTo"/>
        <c:spPr>
          <a:solidFill>
            <a:schemeClr val="accent4">
              <a:lumMod val="50000"/>
            </a:schemeClr>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noFill/>
                </a:ln>
                <a:solidFill>
                  <a:schemeClr val="lt1"/>
                </a:solidFill>
                <a:latin typeface="+mn-lt"/>
                <a:ea typeface="+mn-ea"/>
                <a:cs typeface="+mn-cs"/>
              </a:defRPr>
            </a:pPr>
            <a:endParaRPr lang="en-US"/>
          </a:p>
        </c:txPr>
        <c:crossAx val="641976976"/>
        <c:crosses val="autoZero"/>
        <c:auto val="1"/>
        <c:lblAlgn val="ctr"/>
        <c:lblOffset val="100"/>
        <c:noMultiLvlLbl val="0"/>
      </c:catAx>
      <c:valAx>
        <c:axId val="641976976"/>
        <c:scaling>
          <c:orientation val="minMax"/>
        </c:scaling>
        <c:delete val="1"/>
        <c:axPos val="l"/>
        <c:numFmt formatCode="General" sourceLinked="1"/>
        <c:majorTickMark val="none"/>
        <c:minorTickMark val="none"/>
        <c:tickLblPos val="nextTo"/>
        <c:crossAx val="7848946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444444444444444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0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2222222222222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4444444444444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22222222222222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44444444444444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0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54122574955906"/>
          <c:y val="9.9317949839603389E-2"/>
          <c:w val="0.41147353455818025"/>
          <c:h val="0.68578922426363376"/>
        </c:manualLayout>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86-48AD-8A03-19AC393AF1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86-48AD-8A03-19AC393AF1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86-48AD-8A03-19AC393AF1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86-48AD-8A03-19AC393AF1E3}"/>
              </c:ext>
            </c:extLst>
          </c:dPt>
          <c:dLbls>
            <c:dLbl>
              <c:idx val="0"/>
              <c:layout>
                <c:manualLayout>
                  <c:x val="0.1222222222222222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86-48AD-8A03-19AC393AF1E3}"/>
                </c:ext>
              </c:extLst>
            </c:dLbl>
            <c:dLbl>
              <c:idx val="1"/>
              <c:layout>
                <c:manualLayout>
                  <c:x val="0.14444444444444443"/>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86-48AD-8A03-19AC393AF1E3}"/>
                </c:ext>
              </c:extLst>
            </c:dLbl>
            <c:dLbl>
              <c:idx val="2"/>
              <c:layout>
                <c:manualLayout>
                  <c:x val="-0.19166666666666668"/>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86-48AD-8A03-19AC393AF1E3}"/>
                </c:ext>
              </c:extLst>
            </c:dLbl>
            <c:dLbl>
              <c:idx val="3"/>
              <c:layout>
                <c:manualLayout>
                  <c:x val="-0.13055555555555556"/>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86-48AD-8A03-19AC393AF1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"Rs. "\ #,##0</c:formatCode>
                <c:ptCount val="4"/>
                <c:pt idx="0">
                  <c:v>3534400</c:v>
                </c:pt>
                <c:pt idx="1">
                  <c:v>2661400</c:v>
                </c:pt>
                <c:pt idx="2">
                  <c:v>2870600</c:v>
                </c:pt>
                <c:pt idx="3">
                  <c:v>3878100</c:v>
                </c:pt>
              </c:numCache>
            </c:numRef>
          </c:val>
          <c:extLst>
            <c:ext xmlns:c16="http://schemas.microsoft.com/office/drawing/2014/chart" uri="{C3380CC4-5D6E-409C-BE32-E72D297353CC}">
              <c16:uniqueId val="{00000008-8186-48AD-8A03-19AC393AF1E3}"/>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7394126367241"/>
          <c:y val="7.0438728095071956E-2"/>
          <c:w val="0.81115607395064671"/>
          <c:h val="0.89814814814814814"/>
        </c:manualLayout>
      </c:layout>
      <c:barChart>
        <c:barDir val="bar"/>
        <c:grouping val="clustered"/>
        <c:varyColors val="0"/>
        <c:ser>
          <c:idx val="0"/>
          <c:order val="0"/>
          <c:tx>
            <c:strRef>
              <c:f>'Pivot 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Table'!$A$12:$A$19</c:f>
              <c:strCache>
                <c:ptCount val="7"/>
                <c:pt idx="0">
                  <c:v>Action Figure</c:v>
                </c:pt>
                <c:pt idx="1">
                  <c:v>Blender</c:v>
                </c:pt>
                <c:pt idx="2">
                  <c:v>Moisturizer</c:v>
                </c:pt>
                <c:pt idx="3">
                  <c:v>Novel</c:v>
                </c:pt>
                <c:pt idx="4">
                  <c:v>Smartphone</c:v>
                </c:pt>
                <c:pt idx="5">
                  <c:v>Sneakers</c:v>
                </c:pt>
                <c:pt idx="6">
                  <c:v>Tent</c:v>
                </c:pt>
              </c:strCache>
            </c:strRef>
          </c:cat>
          <c:val>
            <c:numRef>
              <c:f>'Pivot Table'!$B$12:$B$19</c:f>
              <c:numCache>
                <c:formatCode>"Rs. "\ #,##0</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11B4-4864-8311-6AC3F8772CA9}"/>
            </c:ext>
          </c:extLst>
        </c:ser>
        <c:dLbls>
          <c:dLblPos val="outEnd"/>
          <c:showLegendKey val="0"/>
          <c:showVal val="1"/>
          <c:showCatName val="0"/>
          <c:showSerName val="0"/>
          <c:showPercent val="0"/>
          <c:showBubbleSize val="0"/>
        </c:dLbls>
        <c:gapWidth val="50"/>
        <c:overlap val="20"/>
        <c:axId val="767207104"/>
        <c:axId val="641985136"/>
      </c:barChart>
      <c:catAx>
        <c:axId val="76720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85136"/>
        <c:crosses val="autoZero"/>
        <c:auto val="1"/>
        <c:lblAlgn val="ctr"/>
        <c:lblOffset val="100"/>
        <c:noMultiLvlLbl val="0"/>
      </c:catAx>
      <c:valAx>
        <c:axId val="641985136"/>
        <c:scaling>
          <c:orientation val="minMax"/>
        </c:scaling>
        <c:delete val="1"/>
        <c:axPos val="b"/>
        <c:numFmt formatCode="&quot;Rs. &quot;\ #,##0" sourceLinked="1"/>
        <c:majorTickMark val="out"/>
        <c:minorTickMark val="none"/>
        <c:tickLblPos val="nextTo"/>
        <c:crossAx val="7672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04630745153703E-3"/>
          <c:y val="6.0331434407618754E-2"/>
          <c:w val="0.99534523862168445"/>
          <c:h val="0.8617761729364477"/>
        </c:manualLayout>
      </c:layout>
      <c:barChart>
        <c:barDir val="col"/>
        <c:grouping val="clustered"/>
        <c:varyColors val="0"/>
        <c:ser>
          <c:idx val="0"/>
          <c:order val="0"/>
          <c:tx>
            <c:strRef>
              <c:f>'Pivot 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Table'!$D$12:$D$22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Table'!$E$12:$E$22</c:f>
              <c:numCache>
                <c:formatCode>"Rs. "\ #,##0</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8D84-4C85-A6E6-6C927C6D783D}"/>
            </c:ext>
          </c:extLst>
        </c:ser>
        <c:dLbls>
          <c:dLblPos val="outEnd"/>
          <c:showLegendKey val="0"/>
          <c:showVal val="1"/>
          <c:showCatName val="0"/>
          <c:showSerName val="0"/>
          <c:showPercent val="0"/>
          <c:showBubbleSize val="0"/>
        </c:dLbls>
        <c:gapWidth val="75"/>
        <c:overlap val="-27"/>
        <c:axId val="757064224"/>
        <c:axId val="641919856"/>
      </c:barChart>
      <c:catAx>
        <c:axId val="7570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19856"/>
        <c:crosses val="autoZero"/>
        <c:auto val="1"/>
        <c:lblAlgn val="ctr"/>
        <c:lblOffset val="100"/>
        <c:noMultiLvlLbl val="0"/>
      </c:catAx>
      <c:valAx>
        <c:axId val="641919856"/>
        <c:scaling>
          <c:orientation val="minMax"/>
        </c:scaling>
        <c:delete val="1"/>
        <c:axPos val="l"/>
        <c:numFmt formatCode="&quot;Rs. &quot;\ #,##0" sourceLinked="1"/>
        <c:majorTickMark val="none"/>
        <c:minorTickMark val="none"/>
        <c:tickLblPos val="nextTo"/>
        <c:crossAx val="7570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2222222222222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444444444444443"/>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54122574955906"/>
          <c:y val="9.9317949839603389E-2"/>
          <c:w val="0.41147353455818025"/>
          <c:h val="0.68578922426363376"/>
        </c:manualLayout>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EC2-4687-8D48-43F18B8EBE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C2-4687-8D48-43F18B8EBE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EC2-4687-8D48-43F18B8EBE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EC2-4687-8D48-43F18B8EBEDD}"/>
              </c:ext>
            </c:extLst>
          </c:dPt>
          <c:dLbls>
            <c:dLbl>
              <c:idx val="0"/>
              <c:layout>
                <c:manualLayout>
                  <c:x val="0.1222222222222222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C2-4687-8D48-43F18B8EBEDD}"/>
                </c:ext>
              </c:extLst>
            </c:dLbl>
            <c:dLbl>
              <c:idx val="1"/>
              <c:layout>
                <c:manualLayout>
                  <c:x val="0.1222222222222222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C2-4687-8D48-43F18B8EBEDD}"/>
                </c:ext>
              </c:extLst>
            </c:dLbl>
            <c:dLbl>
              <c:idx val="2"/>
              <c:layout>
                <c:manualLayout>
                  <c:x val="0.14444444444444443"/>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C2-4687-8D48-43F18B8EBEDD}"/>
                </c:ext>
              </c:extLst>
            </c:dLbl>
            <c:dLbl>
              <c:idx val="3"/>
              <c:layout>
                <c:manualLayout>
                  <c:x val="-0.19166666666666668"/>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C2-4687-8D48-43F18B8EBED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"Rs. "\ #,##0</c:formatCode>
                <c:ptCount val="4"/>
                <c:pt idx="0">
                  <c:v>3534400</c:v>
                </c:pt>
                <c:pt idx="1">
                  <c:v>2661400</c:v>
                </c:pt>
                <c:pt idx="2">
                  <c:v>2870600</c:v>
                </c:pt>
                <c:pt idx="3">
                  <c:v>3878100</c:v>
                </c:pt>
              </c:numCache>
            </c:numRef>
          </c:val>
          <c:extLst>
            <c:ext xmlns:c16="http://schemas.microsoft.com/office/drawing/2014/chart" uri="{C3380CC4-5D6E-409C-BE32-E72D297353CC}">
              <c16:uniqueId val="{00000000-CEC2-4687-8D48-43F18B8EBEDD}"/>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1354551158382"/>
          <c:y val="5.7407134012258512E-2"/>
          <c:w val="0.81115607395064671"/>
          <c:h val="0.89814814814814814"/>
        </c:manualLayout>
      </c:layout>
      <c:barChart>
        <c:barDir val="bar"/>
        <c:grouping val="clustered"/>
        <c:varyColors val="0"/>
        <c:ser>
          <c:idx val="0"/>
          <c:order val="0"/>
          <c:tx>
            <c:strRef>
              <c:f>'Pivot 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Table'!$A$12:$A$19</c:f>
              <c:strCache>
                <c:ptCount val="7"/>
                <c:pt idx="0">
                  <c:v>Action Figure</c:v>
                </c:pt>
                <c:pt idx="1">
                  <c:v>Blender</c:v>
                </c:pt>
                <c:pt idx="2">
                  <c:v>Moisturizer</c:v>
                </c:pt>
                <c:pt idx="3">
                  <c:v>Novel</c:v>
                </c:pt>
                <c:pt idx="4">
                  <c:v>Smartphone</c:v>
                </c:pt>
                <c:pt idx="5">
                  <c:v>Sneakers</c:v>
                </c:pt>
                <c:pt idx="6">
                  <c:v>Tent</c:v>
                </c:pt>
              </c:strCache>
            </c:strRef>
          </c:cat>
          <c:val>
            <c:numRef>
              <c:f>'Pivot Table'!$B$12:$B$19</c:f>
              <c:numCache>
                <c:formatCode>"Rs. "\ #,##0</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9626-449A-A8CC-EBC3F5442C83}"/>
            </c:ext>
          </c:extLst>
        </c:ser>
        <c:dLbls>
          <c:dLblPos val="outEnd"/>
          <c:showLegendKey val="0"/>
          <c:showVal val="1"/>
          <c:showCatName val="0"/>
          <c:showSerName val="0"/>
          <c:showPercent val="0"/>
          <c:showBubbleSize val="0"/>
        </c:dLbls>
        <c:gapWidth val="50"/>
        <c:overlap val="20"/>
        <c:axId val="767207104"/>
        <c:axId val="641985136"/>
      </c:barChart>
      <c:catAx>
        <c:axId val="76720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85136"/>
        <c:crosses val="autoZero"/>
        <c:auto val="1"/>
        <c:lblAlgn val="ctr"/>
        <c:lblOffset val="100"/>
        <c:noMultiLvlLbl val="0"/>
      </c:catAx>
      <c:valAx>
        <c:axId val="641985136"/>
        <c:scaling>
          <c:orientation val="minMax"/>
        </c:scaling>
        <c:delete val="1"/>
        <c:axPos val="b"/>
        <c:numFmt formatCode="&quot;Rs. &quot;\ #,##0" sourceLinked="1"/>
        <c:majorTickMark val="out"/>
        <c:minorTickMark val="none"/>
        <c:tickLblPos val="nextTo"/>
        <c:crossAx val="76720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3132591386302E-2"/>
          <c:y val="0"/>
          <c:w val="0.95196867408613695"/>
          <c:h val="0.88599076932063392"/>
        </c:manualLayout>
      </c:layout>
      <c:barChart>
        <c:barDir val="col"/>
        <c:grouping val="clustered"/>
        <c:varyColors val="0"/>
        <c:ser>
          <c:idx val="0"/>
          <c:order val="0"/>
          <c:tx>
            <c:strRef>
              <c:f>'Pivot 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Table'!$D$12:$D$22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Table'!$E$12:$E$22</c:f>
              <c:numCache>
                <c:formatCode>"Rs. "\ #,##0</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4AF4-4D54-9B07-67E480E67BB9}"/>
            </c:ext>
          </c:extLst>
        </c:ser>
        <c:dLbls>
          <c:dLblPos val="outEnd"/>
          <c:showLegendKey val="0"/>
          <c:showVal val="1"/>
          <c:showCatName val="0"/>
          <c:showSerName val="0"/>
          <c:showPercent val="0"/>
          <c:showBubbleSize val="0"/>
        </c:dLbls>
        <c:gapWidth val="75"/>
        <c:overlap val="-27"/>
        <c:axId val="757064224"/>
        <c:axId val="641919856"/>
      </c:barChart>
      <c:catAx>
        <c:axId val="7570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19856"/>
        <c:crosses val="autoZero"/>
        <c:auto val="1"/>
        <c:lblAlgn val="ctr"/>
        <c:lblOffset val="100"/>
        <c:noMultiLvlLbl val="0"/>
      </c:catAx>
      <c:valAx>
        <c:axId val="641919856"/>
        <c:scaling>
          <c:orientation val="minMax"/>
        </c:scaling>
        <c:delete val="1"/>
        <c:axPos val="l"/>
        <c:numFmt formatCode="&quot;Rs. &quot;\ #,##0" sourceLinked="1"/>
        <c:majorTickMark val="none"/>
        <c:minorTickMark val="none"/>
        <c:tickLblPos val="nextTo"/>
        <c:crossAx val="7570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Table!PivotTable5</c:name>
    <c:fmtId val="14"/>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4">
                    <a:lumMod val="5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Table'!$D$2:$D$9</c:f>
              <c:strCache>
                <c:ptCount val="7"/>
                <c:pt idx="0">
                  <c:v>Action Figure</c:v>
                </c:pt>
                <c:pt idx="1">
                  <c:v>Blender</c:v>
                </c:pt>
                <c:pt idx="2">
                  <c:v>Moisturizer</c:v>
                </c:pt>
                <c:pt idx="3">
                  <c:v>Novel</c:v>
                </c:pt>
                <c:pt idx="4">
                  <c:v>Smartphone</c:v>
                </c:pt>
                <c:pt idx="5">
                  <c:v>Sneakers</c:v>
                </c:pt>
                <c:pt idx="6">
                  <c:v>Tent</c:v>
                </c:pt>
              </c:strCache>
            </c:strRef>
          </c:cat>
          <c:val>
            <c:numRef>
              <c:f>'Pivot Table'!$E$2:$E$9</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EF33-4965-B131-18A61534871C}"/>
            </c:ext>
          </c:extLst>
        </c:ser>
        <c:dLbls>
          <c:dLblPos val="t"/>
          <c:showLegendKey val="0"/>
          <c:showVal val="1"/>
          <c:showCatName val="0"/>
          <c:showSerName val="0"/>
          <c:showPercent val="0"/>
          <c:showBubbleSize val="0"/>
        </c:dLbls>
        <c:dropLines>
          <c:spPr>
            <a:ln w="25400" cap="flat" cmpd="sng" algn="ctr">
              <a:solidFill>
                <a:schemeClr val="accent4">
                  <a:lumMod val="50000"/>
                </a:schemeClr>
              </a:solidFill>
              <a:round/>
            </a:ln>
            <a:effectLst/>
          </c:spPr>
        </c:dropLines>
        <c:marker val="1"/>
        <c:smooth val="0"/>
        <c:axId val="784894656"/>
        <c:axId val="641976976"/>
      </c:lineChart>
      <c:catAx>
        <c:axId val="784894656"/>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41976976"/>
        <c:crosses val="autoZero"/>
        <c:auto val="1"/>
        <c:lblAlgn val="ctr"/>
        <c:lblOffset val="100"/>
        <c:noMultiLvlLbl val="0"/>
      </c:catAx>
      <c:valAx>
        <c:axId val="641976976"/>
        <c:scaling>
          <c:orientation val="minMax"/>
        </c:scaling>
        <c:delete val="1"/>
        <c:axPos val="l"/>
        <c:numFmt formatCode="General" sourceLinked="1"/>
        <c:majorTickMark val="none"/>
        <c:minorTickMark val="none"/>
        <c:tickLblPos val="nextTo"/>
        <c:crossAx val="7848946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558362</xdr:colOff>
      <xdr:row>4</xdr:row>
      <xdr:rowOff>85725</xdr:rowOff>
    </xdr:to>
    <xdr:sp macro="" textlink="">
      <xdr:nvSpPr>
        <xdr:cNvPr id="2" name="Rectangle: Rounded Corners 1">
          <a:extLst>
            <a:ext uri="{FF2B5EF4-FFF2-40B4-BE49-F238E27FC236}">
              <a16:creationId xmlns:a16="http://schemas.microsoft.com/office/drawing/2014/main" id="{02D5E068-72EB-A710-A976-E6EC652D7B00}"/>
            </a:ext>
          </a:extLst>
        </xdr:cNvPr>
        <xdr:cNvSpPr/>
      </xdr:nvSpPr>
      <xdr:spPr>
        <a:xfrm>
          <a:off x="0" y="0"/>
          <a:ext cx="12758924" cy="856287"/>
        </a:xfrm>
        <a:prstGeom prst="roundRect">
          <a:avLst>
            <a:gd name="adj" fmla="val 26836"/>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46774</xdr:colOff>
      <xdr:row>5</xdr:row>
      <xdr:rowOff>60315</xdr:rowOff>
    </xdr:from>
    <xdr:to>
      <xdr:col>3</xdr:col>
      <xdr:colOff>210486</xdr:colOff>
      <xdr:row>9</xdr:row>
      <xdr:rowOff>141002</xdr:rowOff>
    </xdr:to>
    <xdr:grpSp>
      <xdr:nvGrpSpPr>
        <xdr:cNvPr id="33" name="Group 32">
          <a:extLst>
            <a:ext uri="{FF2B5EF4-FFF2-40B4-BE49-F238E27FC236}">
              <a16:creationId xmlns:a16="http://schemas.microsoft.com/office/drawing/2014/main" id="{1B882754-3774-E49A-E158-59C4F95FE8B7}"/>
            </a:ext>
          </a:extLst>
        </xdr:cNvPr>
        <xdr:cNvGrpSpPr/>
      </xdr:nvGrpSpPr>
      <xdr:grpSpPr>
        <a:xfrm>
          <a:off x="46774" y="1012815"/>
          <a:ext cx="1979065" cy="842687"/>
          <a:chOff x="29766" y="1129701"/>
          <a:chExt cx="1994298" cy="861024"/>
        </a:xfrm>
      </xdr:grpSpPr>
      <xdr:sp macro="" textlink="">
        <xdr:nvSpPr>
          <xdr:cNvPr id="4" name="Rectangle: Rounded Corners 3">
            <a:extLst>
              <a:ext uri="{FF2B5EF4-FFF2-40B4-BE49-F238E27FC236}">
                <a16:creationId xmlns:a16="http://schemas.microsoft.com/office/drawing/2014/main" id="{9735BF2B-613A-DF76-4BE6-8F1D3E2FF707}"/>
              </a:ext>
            </a:extLst>
          </xdr:cNvPr>
          <xdr:cNvSpPr/>
        </xdr:nvSpPr>
        <xdr:spPr>
          <a:xfrm>
            <a:off x="29766" y="1131094"/>
            <a:ext cx="1994298" cy="859631"/>
          </a:xfrm>
          <a:prstGeom prst="roundRect">
            <a:avLst>
              <a:gd name="adj" fmla="val 1904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8" name="Group 7">
            <a:extLst>
              <a:ext uri="{FF2B5EF4-FFF2-40B4-BE49-F238E27FC236}">
                <a16:creationId xmlns:a16="http://schemas.microsoft.com/office/drawing/2014/main" id="{D339AE54-473F-5A47-00E8-722A08B1A265}"/>
              </a:ext>
            </a:extLst>
          </xdr:cNvPr>
          <xdr:cNvGrpSpPr/>
        </xdr:nvGrpSpPr>
        <xdr:grpSpPr>
          <a:xfrm>
            <a:off x="45686" y="1129701"/>
            <a:ext cx="1903963" cy="840880"/>
            <a:chOff x="45686" y="1129701"/>
            <a:chExt cx="1903963" cy="840880"/>
          </a:xfrm>
        </xdr:grpSpPr>
        <xdr:sp macro="" textlink="">
          <xdr:nvSpPr>
            <xdr:cNvPr id="5" name="Rectangle: Rounded Corners 4">
              <a:extLst>
                <a:ext uri="{FF2B5EF4-FFF2-40B4-BE49-F238E27FC236}">
                  <a16:creationId xmlns:a16="http://schemas.microsoft.com/office/drawing/2014/main" id="{77903761-AE62-FAA4-B29E-E6392D092BB6}"/>
                </a:ext>
              </a:extLst>
            </xdr:cNvPr>
            <xdr:cNvSpPr/>
          </xdr:nvSpPr>
          <xdr:spPr>
            <a:xfrm>
              <a:off x="45686" y="1129701"/>
              <a:ext cx="625075" cy="840880"/>
            </a:xfrm>
            <a:prstGeom prst="roundRect">
              <a:avLst>
                <a:gd name="adj" fmla="val 25902"/>
              </a:avLst>
            </a:prstGeom>
            <a:solidFill>
              <a:schemeClr val="accent4">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6" name="TextBox 5">
              <a:extLst>
                <a:ext uri="{FF2B5EF4-FFF2-40B4-BE49-F238E27FC236}">
                  <a16:creationId xmlns:a16="http://schemas.microsoft.com/office/drawing/2014/main" id="{F0DB40BD-8240-537A-89B8-E6994885BC00}"/>
                </a:ext>
              </a:extLst>
            </xdr:cNvPr>
            <xdr:cNvSpPr txBox="1"/>
          </xdr:nvSpPr>
          <xdr:spPr>
            <a:xfrm>
              <a:off x="833438" y="1287363"/>
              <a:ext cx="1116211" cy="31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none" spc="0">
                  <a:ln w="0"/>
                  <a:solidFill>
                    <a:schemeClr val="accent1"/>
                  </a:solidFill>
                  <a:effectLst>
                    <a:outerShdw blurRad="38100" dist="25400" dir="5400000" algn="ctr" rotWithShape="0">
                      <a:srgbClr val="6E747A">
                        <a:alpha val="43000"/>
                      </a:srgbClr>
                    </a:outerShdw>
                  </a:effectLst>
                </a:rPr>
                <a:t>TOTAL </a:t>
              </a:r>
              <a:r>
                <a:rPr lang="en-IN" sz="1200" b="1" cap="none" spc="0" baseline="0">
                  <a:ln w="0"/>
                  <a:solidFill>
                    <a:schemeClr val="accent1"/>
                  </a:solidFill>
                  <a:effectLst>
                    <a:outerShdw blurRad="38100" dist="25400" dir="5400000" algn="ctr" rotWithShape="0">
                      <a:srgbClr val="6E747A">
                        <a:alpha val="43000"/>
                      </a:srgbClr>
                    </a:outerShdw>
                  </a:effectLst>
                </a:rPr>
                <a:t> SALES</a:t>
              </a:r>
              <a:endParaRPr lang="en-IN" sz="1200" b="1"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3</xdr:col>
      <xdr:colOff>457115</xdr:colOff>
      <xdr:row>5</xdr:row>
      <xdr:rowOff>61658</xdr:rowOff>
    </xdr:from>
    <xdr:to>
      <xdr:col>7</xdr:col>
      <xdr:colOff>65908</xdr:colOff>
      <xdr:row>9</xdr:row>
      <xdr:rowOff>141004</xdr:rowOff>
    </xdr:to>
    <xdr:grpSp>
      <xdr:nvGrpSpPr>
        <xdr:cNvPr id="40" name="Group 39">
          <a:extLst>
            <a:ext uri="{FF2B5EF4-FFF2-40B4-BE49-F238E27FC236}">
              <a16:creationId xmlns:a16="http://schemas.microsoft.com/office/drawing/2014/main" id="{AB5C6AFA-8EB8-39A4-9E1B-295B67363938}"/>
            </a:ext>
          </a:extLst>
        </xdr:cNvPr>
        <xdr:cNvGrpSpPr/>
      </xdr:nvGrpSpPr>
      <xdr:grpSpPr>
        <a:xfrm>
          <a:off x="2272468" y="1014158"/>
          <a:ext cx="2029264" cy="841346"/>
          <a:chOff x="29766" y="1131094"/>
          <a:chExt cx="2051565" cy="859631"/>
        </a:xfrm>
      </xdr:grpSpPr>
      <xdr:sp macro="" textlink="">
        <xdr:nvSpPr>
          <xdr:cNvPr id="41" name="Rectangle: Rounded Corners 40">
            <a:extLst>
              <a:ext uri="{FF2B5EF4-FFF2-40B4-BE49-F238E27FC236}">
                <a16:creationId xmlns:a16="http://schemas.microsoft.com/office/drawing/2014/main" id="{96DF2054-4A94-8997-6242-4A689C2F4157}"/>
              </a:ext>
            </a:extLst>
          </xdr:cNvPr>
          <xdr:cNvSpPr/>
        </xdr:nvSpPr>
        <xdr:spPr>
          <a:xfrm>
            <a:off x="29766" y="1131094"/>
            <a:ext cx="1994298" cy="859631"/>
          </a:xfrm>
          <a:prstGeom prst="roundRect">
            <a:avLst>
              <a:gd name="adj" fmla="val 1904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42" name="Group 41">
            <a:extLst>
              <a:ext uri="{FF2B5EF4-FFF2-40B4-BE49-F238E27FC236}">
                <a16:creationId xmlns:a16="http://schemas.microsoft.com/office/drawing/2014/main" id="{C3D0DE0D-2087-9770-59F2-FFB533A381A8}"/>
              </a:ext>
            </a:extLst>
          </xdr:cNvPr>
          <xdr:cNvGrpSpPr/>
        </xdr:nvGrpSpPr>
        <xdr:grpSpPr>
          <a:xfrm>
            <a:off x="37209" y="1138534"/>
            <a:ext cx="2044122" cy="840880"/>
            <a:chOff x="37209" y="1138534"/>
            <a:chExt cx="2044122" cy="840880"/>
          </a:xfrm>
        </xdr:grpSpPr>
        <xdr:sp macro="" textlink="">
          <xdr:nvSpPr>
            <xdr:cNvPr id="43" name="Rectangle: Rounded Corners 42">
              <a:extLst>
                <a:ext uri="{FF2B5EF4-FFF2-40B4-BE49-F238E27FC236}">
                  <a16:creationId xmlns:a16="http://schemas.microsoft.com/office/drawing/2014/main" id="{31F4AA4D-B3AA-7921-734B-A454EFB50836}"/>
                </a:ext>
              </a:extLst>
            </xdr:cNvPr>
            <xdr:cNvSpPr/>
          </xdr:nvSpPr>
          <xdr:spPr>
            <a:xfrm>
              <a:off x="37209" y="1138534"/>
              <a:ext cx="625075" cy="840880"/>
            </a:xfrm>
            <a:prstGeom prst="roundRect">
              <a:avLst>
                <a:gd name="adj" fmla="val 25902"/>
              </a:avLst>
            </a:prstGeom>
            <a:solidFill>
              <a:schemeClr val="accent4">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4" name="TextBox 43">
              <a:extLst>
                <a:ext uri="{FF2B5EF4-FFF2-40B4-BE49-F238E27FC236}">
                  <a16:creationId xmlns:a16="http://schemas.microsoft.com/office/drawing/2014/main" id="{E9C7CE5F-A344-6ADF-DAFC-32DFA95BBA9E}"/>
                </a:ext>
              </a:extLst>
            </xdr:cNvPr>
            <xdr:cNvSpPr txBox="1"/>
          </xdr:nvSpPr>
          <xdr:spPr>
            <a:xfrm>
              <a:off x="825997" y="1257598"/>
              <a:ext cx="1116211" cy="31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cap="none" spc="0">
                  <a:ln w="0"/>
                  <a:solidFill>
                    <a:schemeClr val="accent1"/>
                  </a:solidFill>
                  <a:effectLst>
                    <a:outerShdw blurRad="38100" dist="25400" dir="5400000" algn="ctr" rotWithShape="0">
                      <a:srgbClr val="6E747A">
                        <a:alpha val="43000"/>
                      </a:srgbClr>
                    </a:outerShdw>
                  </a:effectLst>
                </a:rPr>
                <a:t>AVERAGE</a:t>
              </a:r>
              <a:r>
                <a:rPr lang="en-IN" sz="1050" b="1" cap="none" spc="0" baseline="0">
                  <a:ln w="0"/>
                  <a:solidFill>
                    <a:schemeClr val="accent1"/>
                  </a:solidFill>
                  <a:effectLst>
                    <a:outerShdw blurRad="38100" dist="25400" dir="5400000" algn="ctr" rotWithShape="0">
                      <a:srgbClr val="6E747A">
                        <a:alpha val="43000"/>
                      </a:srgbClr>
                    </a:outerShdw>
                  </a:effectLst>
                </a:rPr>
                <a:t> SALES</a:t>
              </a:r>
              <a:endParaRPr lang="en-IN" sz="1050" b="1" cap="none" spc="0">
                <a:ln w="0"/>
                <a:solidFill>
                  <a:schemeClr val="accent1"/>
                </a:solidFill>
                <a:effectLst>
                  <a:outerShdw blurRad="38100" dist="25400" dir="5400000" algn="ctr" rotWithShape="0">
                    <a:srgbClr val="6E747A">
                      <a:alpha val="43000"/>
                    </a:srgbClr>
                  </a:outerShdw>
                </a:effectLst>
              </a:endParaRPr>
            </a:p>
          </xdr:txBody>
        </xdr:sp>
        <xdr:sp macro="" textlink="'Pivot Table'!J50">
          <xdr:nvSpPr>
            <xdr:cNvPr id="45" name="TextBox 44">
              <a:extLst>
                <a:ext uri="{FF2B5EF4-FFF2-40B4-BE49-F238E27FC236}">
                  <a16:creationId xmlns:a16="http://schemas.microsoft.com/office/drawing/2014/main" id="{FBE082C5-74B4-7D26-8AA4-DCA18645D620}"/>
                </a:ext>
              </a:extLst>
            </xdr:cNvPr>
            <xdr:cNvSpPr txBox="1"/>
          </xdr:nvSpPr>
          <xdr:spPr>
            <a:xfrm>
              <a:off x="920472" y="1440853"/>
              <a:ext cx="1160859"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CE3B4F-D855-4810-969C-96C18ED1DA5F}" type="TxLink">
                <a:rPr lang="en-US" sz="1600" b="1" i="0" u="none" strike="noStrike">
                  <a:ln>
                    <a:noFill/>
                  </a:ln>
                  <a:solidFill>
                    <a:srgbClr val="002060"/>
                  </a:solidFill>
                  <a:latin typeface="Aptos Narrow"/>
                </a:rPr>
                <a:pPr/>
                <a:t>2,58,890</a:t>
              </a:fld>
              <a:endParaRPr lang="en-US" sz="2400" b="1">
                <a:ln>
                  <a:noFill/>
                </a:ln>
                <a:solidFill>
                  <a:srgbClr val="002060"/>
                </a:solidFill>
              </a:endParaRPr>
            </a:p>
          </xdr:txBody>
        </xdr:sp>
      </xdr:grpSp>
    </xdr:grpSp>
    <xdr:clientData/>
  </xdr:twoCellAnchor>
  <xdr:twoCellAnchor>
    <xdr:from>
      <xdr:col>7</xdr:col>
      <xdr:colOff>222180</xdr:colOff>
      <xdr:row>5</xdr:row>
      <xdr:rowOff>70162</xdr:rowOff>
    </xdr:from>
    <xdr:to>
      <xdr:col>10</xdr:col>
      <xdr:colOff>385491</xdr:colOff>
      <xdr:row>9</xdr:row>
      <xdr:rowOff>149508</xdr:rowOff>
    </xdr:to>
    <xdr:grpSp>
      <xdr:nvGrpSpPr>
        <xdr:cNvPr id="32" name="Group 45">
          <a:extLst>
            <a:ext uri="{FF2B5EF4-FFF2-40B4-BE49-F238E27FC236}">
              <a16:creationId xmlns:a16="http://schemas.microsoft.com/office/drawing/2014/main" id="{8D2BBF13-A1EF-EEA2-BEBC-74F05B1DE2A1}"/>
            </a:ext>
          </a:extLst>
        </xdr:cNvPr>
        <xdr:cNvGrpSpPr/>
      </xdr:nvGrpSpPr>
      <xdr:grpSpPr>
        <a:xfrm>
          <a:off x="4458004" y="1022662"/>
          <a:ext cx="1978663" cy="841346"/>
          <a:chOff x="29766" y="1131094"/>
          <a:chExt cx="1994298" cy="859631"/>
        </a:xfrm>
      </xdr:grpSpPr>
      <xdr:sp macro="" textlink="">
        <xdr:nvSpPr>
          <xdr:cNvPr id="34" name="Rectangle: Rounded Corners 46">
            <a:extLst>
              <a:ext uri="{FF2B5EF4-FFF2-40B4-BE49-F238E27FC236}">
                <a16:creationId xmlns:a16="http://schemas.microsoft.com/office/drawing/2014/main" id="{30589A65-F587-2F2D-8AA0-34741B227DFD}"/>
              </a:ext>
            </a:extLst>
          </xdr:cNvPr>
          <xdr:cNvSpPr/>
        </xdr:nvSpPr>
        <xdr:spPr>
          <a:xfrm>
            <a:off x="29766" y="1131094"/>
            <a:ext cx="1994298" cy="859631"/>
          </a:xfrm>
          <a:prstGeom prst="roundRect">
            <a:avLst>
              <a:gd name="adj" fmla="val 1904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35" name="Group 47">
            <a:extLst>
              <a:ext uri="{FF2B5EF4-FFF2-40B4-BE49-F238E27FC236}">
                <a16:creationId xmlns:a16="http://schemas.microsoft.com/office/drawing/2014/main" id="{8C18FFC6-B767-3B46-796F-B5BF1216A123}"/>
              </a:ext>
            </a:extLst>
          </xdr:cNvPr>
          <xdr:cNvGrpSpPr/>
        </xdr:nvGrpSpPr>
        <xdr:grpSpPr>
          <a:xfrm>
            <a:off x="37209" y="1138534"/>
            <a:ext cx="1904999" cy="840880"/>
            <a:chOff x="37209" y="1138534"/>
            <a:chExt cx="1904999" cy="840880"/>
          </a:xfrm>
        </xdr:grpSpPr>
        <xdr:sp macro="" textlink="">
          <xdr:nvSpPr>
            <xdr:cNvPr id="36" name="Rectangle: Rounded Corners 48">
              <a:extLst>
                <a:ext uri="{FF2B5EF4-FFF2-40B4-BE49-F238E27FC236}">
                  <a16:creationId xmlns:a16="http://schemas.microsoft.com/office/drawing/2014/main" id="{D94A0416-1517-5B94-CB0D-9D0699B9311C}"/>
                </a:ext>
              </a:extLst>
            </xdr:cNvPr>
            <xdr:cNvSpPr/>
          </xdr:nvSpPr>
          <xdr:spPr>
            <a:xfrm>
              <a:off x="37209" y="1138534"/>
              <a:ext cx="625075" cy="840880"/>
            </a:xfrm>
            <a:prstGeom prst="roundRect">
              <a:avLst>
                <a:gd name="adj" fmla="val 25902"/>
              </a:avLst>
            </a:prstGeom>
            <a:solidFill>
              <a:schemeClr val="accent4">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7" name="TextBox 49">
              <a:extLst>
                <a:ext uri="{FF2B5EF4-FFF2-40B4-BE49-F238E27FC236}">
                  <a16:creationId xmlns:a16="http://schemas.microsoft.com/office/drawing/2014/main" id="{9DEBD933-1661-EF40-86F2-0DA695700C18}"/>
                </a:ext>
              </a:extLst>
            </xdr:cNvPr>
            <xdr:cNvSpPr txBox="1"/>
          </xdr:nvSpPr>
          <xdr:spPr>
            <a:xfrm>
              <a:off x="825997" y="1250156"/>
              <a:ext cx="1116211" cy="31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cap="none" spc="0">
                  <a:ln w="0"/>
                  <a:solidFill>
                    <a:schemeClr val="accent1"/>
                  </a:solidFill>
                  <a:effectLst>
                    <a:outerShdw blurRad="38100" dist="25400" dir="5400000" algn="ctr" rotWithShape="0">
                      <a:srgbClr val="6E747A">
                        <a:alpha val="43000"/>
                      </a:srgbClr>
                    </a:outerShdw>
                  </a:effectLst>
                </a:rPr>
                <a:t>UNITS</a:t>
              </a:r>
              <a:r>
                <a:rPr lang="en-IN" sz="1050" b="1" cap="none" spc="0" baseline="0">
                  <a:ln w="0"/>
                  <a:solidFill>
                    <a:schemeClr val="accent1"/>
                  </a:solidFill>
                  <a:effectLst>
                    <a:outerShdw blurRad="38100" dist="25400" dir="5400000" algn="ctr" rotWithShape="0">
                      <a:srgbClr val="6E747A">
                        <a:alpha val="43000"/>
                      </a:srgbClr>
                    </a:outerShdw>
                  </a:effectLst>
                </a:rPr>
                <a:t> </a:t>
              </a:r>
              <a:r>
                <a:rPr lang="en-IN" sz="1200" b="1" cap="none" spc="0" baseline="0">
                  <a:ln w="0"/>
                  <a:solidFill>
                    <a:schemeClr val="accent1"/>
                  </a:solidFill>
                  <a:effectLst>
                    <a:outerShdw blurRad="38100" dist="25400" dir="5400000" algn="ctr" rotWithShape="0">
                      <a:srgbClr val="6E747A">
                        <a:alpha val="43000"/>
                      </a:srgbClr>
                    </a:outerShdw>
                  </a:effectLst>
                </a:rPr>
                <a:t>SOLDS</a:t>
              </a:r>
              <a:endParaRPr lang="en-IN" sz="1050" b="1" cap="none" spc="0">
                <a:ln w="0"/>
                <a:solidFill>
                  <a:schemeClr val="accent1"/>
                </a:solidFill>
                <a:effectLst>
                  <a:outerShdw blurRad="38100" dist="25400" dir="5400000" algn="ctr" rotWithShape="0">
                    <a:srgbClr val="6E747A">
                      <a:alpha val="43000"/>
                    </a:srgbClr>
                  </a:outerShdw>
                </a:effectLst>
              </a:endParaRPr>
            </a:p>
          </xdr:txBody>
        </xdr:sp>
      </xdr:grpSp>
    </xdr:grpSp>
    <xdr:clientData/>
  </xdr:twoCellAnchor>
  <xdr:twoCellAnchor>
    <xdr:from>
      <xdr:col>10</xdr:col>
      <xdr:colOff>572988</xdr:colOff>
      <xdr:row>5</xdr:row>
      <xdr:rowOff>70163</xdr:rowOff>
    </xdr:from>
    <xdr:to>
      <xdr:col>14</xdr:col>
      <xdr:colOff>238125</xdr:colOff>
      <xdr:row>9</xdr:row>
      <xdr:rowOff>149509</xdr:rowOff>
    </xdr:to>
    <xdr:grpSp>
      <xdr:nvGrpSpPr>
        <xdr:cNvPr id="26" name="Group 51">
          <a:extLst>
            <a:ext uri="{FF2B5EF4-FFF2-40B4-BE49-F238E27FC236}">
              <a16:creationId xmlns:a16="http://schemas.microsoft.com/office/drawing/2014/main" id="{CCD6E559-7270-298A-8415-5CCBFAEB5088}"/>
            </a:ext>
          </a:extLst>
        </xdr:cNvPr>
        <xdr:cNvGrpSpPr/>
      </xdr:nvGrpSpPr>
      <xdr:grpSpPr>
        <a:xfrm>
          <a:off x="6624164" y="1022663"/>
          <a:ext cx="2085608" cy="841346"/>
          <a:chOff x="29766" y="1131094"/>
          <a:chExt cx="2105918" cy="859631"/>
        </a:xfrm>
      </xdr:grpSpPr>
      <xdr:sp macro="" textlink="">
        <xdr:nvSpPr>
          <xdr:cNvPr id="27" name="Rectangle: Rounded Corners 52">
            <a:extLst>
              <a:ext uri="{FF2B5EF4-FFF2-40B4-BE49-F238E27FC236}">
                <a16:creationId xmlns:a16="http://schemas.microsoft.com/office/drawing/2014/main" id="{A9FE5C9F-39AA-F9EE-3A62-893FC318686A}"/>
              </a:ext>
            </a:extLst>
          </xdr:cNvPr>
          <xdr:cNvSpPr/>
        </xdr:nvSpPr>
        <xdr:spPr>
          <a:xfrm>
            <a:off x="29766" y="1131094"/>
            <a:ext cx="1994298" cy="859631"/>
          </a:xfrm>
          <a:prstGeom prst="roundRect">
            <a:avLst>
              <a:gd name="adj" fmla="val 1904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28" name="Group 53">
            <a:extLst>
              <a:ext uri="{FF2B5EF4-FFF2-40B4-BE49-F238E27FC236}">
                <a16:creationId xmlns:a16="http://schemas.microsoft.com/office/drawing/2014/main" id="{8E6E31D1-BBED-C9D2-FF4E-043207DD286C}"/>
              </a:ext>
            </a:extLst>
          </xdr:cNvPr>
          <xdr:cNvGrpSpPr/>
        </xdr:nvGrpSpPr>
        <xdr:grpSpPr>
          <a:xfrm>
            <a:off x="37209" y="1138534"/>
            <a:ext cx="2098475" cy="840880"/>
            <a:chOff x="37209" y="1138534"/>
            <a:chExt cx="2098475" cy="840880"/>
          </a:xfrm>
        </xdr:grpSpPr>
        <xdr:sp macro="" textlink="">
          <xdr:nvSpPr>
            <xdr:cNvPr id="29" name="Rectangle: Rounded Corners 54">
              <a:extLst>
                <a:ext uri="{FF2B5EF4-FFF2-40B4-BE49-F238E27FC236}">
                  <a16:creationId xmlns:a16="http://schemas.microsoft.com/office/drawing/2014/main" id="{DB65C72E-FE0E-4096-F3B8-928CB9F3ED7C}"/>
                </a:ext>
              </a:extLst>
            </xdr:cNvPr>
            <xdr:cNvSpPr/>
          </xdr:nvSpPr>
          <xdr:spPr>
            <a:xfrm>
              <a:off x="37209" y="1138534"/>
              <a:ext cx="625075" cy="840880"/>
            </a:xfrm>
            <a:prstGeom prst="roundRect">
              <a:avLst>
                <a:gd name="adj" fmla="val 25902"/>
              </a:avLst>
            </a:prstGeom>
            <a:solidFill>
              <a:schemeClr val="accent4">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0" name="TextBox 55">
              <a:extLst>
                <a:ext uri="{FF2B5EF4-FFF2-40B4-BE49-F238E27FC236}">
                  <a16:creationId xmlns:a16="http://schemas.microsoft.com/office/drawing/2014/main" id="{8638DF0E-FF8B-9895-4927-56C9A78EB667}"/>
                </a:ext>
              </a:extLst>
            </xdr:cNvPr>
            <xdr:cNvSpPr txBox="1"/>
          </xdr:nvSpPr>
          <xdr:spPr>
            <a:xfrm>
              <a:off x="1019473" y="1242715"/>
              <a:ext cx="1116211" cy="31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none" spc="0">
                  <a:ln w="0"/>
                  <a:solidFill>
                    <a:schemeClr val="accent1"/>
                  </a:solidFill>
                  <a:effectLst>
                    <a:outerShdw blurRad="38100" dist="25400" dir="5400000" algn="ctr" rotWithShape="0">
                      <a:srgbClr val="6E747A">
                        <a:alpha val="43000"/>
                      </a:srgbClr>
                    </a:outerShdw>
                  </a:effectLst>
                </a:rPr>
                <a:t>PROFIT</a:t>
              </a:r>
              <a:endParaRPr lang="en-IN" sz="1050" b="1" cap="none" spc="0">
                <a:ln w="0"/>
                <a:solidFill>
                  <a:schemeClr val="accent1"/>
                </a:solidFill>
                <a:effectLst>
                  <a:outerShdw blurRad="38100" dist="25400" dir="5400000" algn="ctr" rotWithShape="0">
                    <a:srgbClr val="6E747A">
                      <a:alpha val="43000"/>
                    </a:srgbClr>
                  </a:outerShdw>
                </a:effectLst>
              </a:endParaRPr>
            </a:p>
          </xdr:txBody>
        </xdr:sp>
        <xdr:sp macro="" textlink="'Pivot Table'!J52">
          <xdr:nvSpPr>
            <xdr:cNvPr id="31" name="TextBox 56">
              <a:extLst>
                <a:ext uri="{FF2B5EF4-FFF2-40B4-BE49-F238E27FC236}">
                  <a16:creationId xmlns:a16="http://schemas.microsoft.com/office/drawing/2014/main" id="{1F1B6B58-9F9A-2FAE-5421-7AEFACB43C6F}"/>
                </a:ext>
              </a:extLst>
            </xdr:cNvPr>
            <xdr:cNvSpPr txBox="1"/>
          </xdr:nvSpPr>
          <xdr:spPr>
            <a:xfrm>
              <a:off x="872461" y="1445513"/>
              <a:ext cx="1160859"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F5132F-17E3-4AE2-B678-BAC0BEA0A733}" type="TxLink">
                <a:rPr lang="en-US" sz="1600" b="1" i="0" u="none" strike="noStrike">
                  <a:ln>
                    <a:noFill/>
                  </a:ln>
                  <a:solidFill>
                    <a:schemeClr val="accent4">
                      <a:lumMod val="50000"/>
                    </a:schemeClr>
                  </a:solidFill>
                  <a:latin typeface="Aptos Narrow"/>
                </a:rPr>
                <a:pPr/>
                <a:t>38,34,400</a:t>
              </a:fld>
              <a:endParaRPr lang="en-US" sz="1600" b="1">
                <a:ln>
                  <a:noFill/>
                </a:ln>
                <a:solidFill>
                  <a:schemeClr val="accent4">
                    <a:lumMod val="50000"/>
                  </a:schemeClr>
                </a:solidFill>
              </a:endParaRPr>
            </a:p>
          </xdr:txBody>
        </xdr:sp>
      </xdr:grpSp>
    </xdr:grpSp>
    <xdr:clientData/>
  </xdr:twoCellAnchor>
  <xdr:twoCellAnchor editAs="oneCell">
    <xdr:from>
      <xdr:col>11</xdr:col>
      <xdr:colOff>52500</xdr:colOff>
      <xdr:row>6</xdr:row>
      <xdr:rowOff>33951</xdr:rowOff>
    </xdr:from>
    <xdr:to>
      <xdr:col>11</xdr:col>
      <xdr:colOff>517500</xdr:colOff>
      <xdr:row>8</xdr:row>
      <xdr:rowOff>168549</xdr:rowOff>
    </xdr:to>
    <xdr:pic>
      <xdr:nvPicPr>
        <xdr:cNvPr id="69" name="Graphic 68" descr="Upward trend with solid fill">
          <a:extLst>
            <a:ext uri="{FF2B5EF4-FFF2-40B4-BE49-F238E27FC236}">
              <a16:creationId xmlns:a16="http://schemas.microsoft.com/office/drawing/2014/main" id="{7B23892E-B094-1C60-B780-E741B1C800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62809" y="1189794"/>
          <a:ext cx="465000" cy="519879"/>
        </a:xfrm>
        <a:prstGeom prst="rect">
          <a:avLst/>
        </a:prstGeom>
      </xdr:spPr>
    </xdr:pic>
    <xdr:clientData/>
  </xdr:twoCellAnchor>
  <xdr:twoCellAnchor editAs="oneCell">
    <xdr:from>
      <xdr:col>3</xdr:col>
      <xdr:colOff>573549</xdr:colOff>
      <xdr:row>6</xdr:row>
      <xdr:rowOff>24510</xdr:rowOff>
    </xdr:from>
    <xdr:to>
      <xdr:col>4</xdr:col>
      <xdr:colOff>393549</xdr:colOff>
      <xdr:row>8</xdr:row>
      <xdr:rowOff>77009</xdr:rowOff>
    </xdr:to>
    <xdr:pic>
      <xdr:nvPicPr>
        <xdr:cNvPr id="71" name="Graphic 70" descr="Coins with solid fill">
          <a:extLst>
            <a:ext uri="{FF2B5EF4-FFF2-40B4-BE49-F238E27FC236}">
              <a16:creationId xmlns:a16="http://schemas.microsoft.com/office/drawing/2014/main" id="{FDEFC24B-505A-DD27-0CE0-0D6FED4E4E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0513" y="1147099"/>
          <a:ext cx="432322" cy="426696"/>
        </a:xfrm>
        <a:prstGeom prst="rect">
          <a:avLst/>
        </a:prstGeom>
      </xdr:spPr>
    </xdr:pic>
    <xdr:clientData/>
  </xdr:twoCellAnchor>
  <xdr:twoCellAnchor editAs="oneCell">
    <xdr:from>
      <xdr:col>0</xdr:col>
      <xdr:colOff>136004</xdr:colOff>
      <xdr:row>6</xdr:row>
      <xdr:rowOff>36429</xdr:rowOff>
    </xdr:from>
    <xdr:to>
      <xdr:col>0</xdr:col>
      <xdr:colOff>608504</xdr:colOff>
      <xdr:row>8</xdr:row>
      <xdr:rowOff>133527</xdr:rowOff>
    </xdr:to>
    <xdr:pic>
      <xdr:nvPicPr>
        <xdr:cNvPr id="73" name="Picture 72">
          <a:extLst>
            <a:ext uri="{FF2B5EF4-FFF2-40B4-BE49-F238E27FC236}">
              <a16:creationId xmlns:a16="http://schemas.microsoft.com/office/drawing/2014/main" id="{4F19D5B8-4A8A-6EA3-9CDB-2EF5A60404E2}"/>
            </a:ext>
          </a:extLst>
        </xdr:cNvPr>
        <xdr:cNvPicPr>
          <a:picLocks noChangeAspect="1"/>
        </xdr:cNvPicPr>
      </xdr:nvPicPr>
      <xdr:blipFill>
        <a:blip xmlns:r="http://schemas.openxmlformats.org/officeDocument/2006/relationships" r:embed="rId5" cstate="print">
          <a:lum bright="70000" contrast="-70000"/>
          <a:extLst>
            <a:ext uri="{BEBA8EAE-BF5A-486C-A8C5-ECC9F3942E4B}">
              <a14:imgProps xmlns:a14="http://schemas.microsoft.com/office/drawing/2010/main">
                <a14:imgLayer r:embed="rId6">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36004" y="1159018"/>
          <a:ext cx="472500" cy="471295"/>
        </a:xfrm>
        <a:prstGeom prst="rect">
          <a:avLst/>
        </a:prstGeom>
      </xdr:spPr>
    </xdr:pic>
    <xdr:clientData/>
  </xdr:twoCellAnchor>
  <xdr:twoCellAnchor editAs="oneCell">
    <xdr:from>
      <xdr:col>7</xdr:col>
      <xdr:colOff>295982</xdr:colOff>
      <xdr:row>6</xdr:row>
      <xdr:rowOff>78951</xdr:rowOff>
    </xdr:from>
    <xdr:to>
      <xdr:col>8</xdr:col>
      <xdr:colOff>153482</xdr:colOff>
      <xdr:row>8</xdr:row>
      <xdr:rowOff>168549</xdr:rowOff>
    </xdr:to>
    <xdr:pic>
      <xdr:nvPicPr>
        <xdr:cNvPr id="75" name="Picture 74">
          <a:extLst>
            <a:ext uri="{FF2B5EF4-FFF2-40B4-BE49-F238E27FC236}">
              <a16:creationId xmlns:a16="http://schemas.microsoft.com/office/drawing/2014/main" id="{3E481CC1-8973-B061-08DA-754858ECB985}"/>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4582232" y="1201540"/>
          <a:ext cx="469821" cy="463795"/>
        </a:xfrm>
        <a:prstGeom prst="rect">
          <a:avLst/>
        </a:prstGeom>
      </xdr:spPr>
    </xdr:pic>
    <xdr:clientData/>
  </xdr:twoCellAnchor>
  <xdr:twoCellAnchor>
    <xdr:from>
      <xdr:col>8</xdr:col>
      <xdr:colOff>11487</xdr:colOff>
      <xdr:row>0</xdr:row>
      <xdr:rowOff>49272</xdr:rowOff>
    </xdr:from>
    <xdr:to>
      <xdr:col>18</xdr:col>
      <xdr:colOff>138988</xdr:colOff>
      <xdr:row>3</xdr:row>
      <xdr:rowOff>34272</xdr:rowOff>
    </xdr:to>
    <xdr:sp macro="" textlink="">
      <xdr:nvSpPr>
        <xdr:cNvPr id="76" name="TextBox 75">
          <a:extLst>
            <a:ext uri="{FF2B5EF4-FFF2-40B4-BE49-F238E27FC236}">
              <a16:creationId xmlns:a16="http://schemas.microsoft.com/office/drawing/2014/main" id="{35E0E098-2978-9136-3E00-AC5D88A2BE49}"/>
            </a:ext>
          </a:extLst>
        </xdr:cNvPr>
        <xdr:cNvSpPr txBox="1"/>
      </xdr:nvSpPr>
      <xdr:spPr>
        <a:xfrm>
          <a:off x="4891712" y="49272"/>
          <a:ext cx="6227782" cy="562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4">
                  <a:lumMod val="50000"/>
                </a:schemeClr>
              </a:solidFill>
            </a:rPr>
            <a:t>SALES</a:t>
          </a:r>
          <a:r>
            <a:rPr lang="en-IN" sz="4000" b="1" baseline="0">
              <a:solidFill>
                <a:schemeClr val="accent4">
                  <a:lumMod val="50000"/>
                </a:schemeClr>
              </a:solidFill>
            </a:rPr>
            <a:t> DASHBOARD </a:t>
          </a:r>
          <a:endParaRPr lang="en-IN" sz="4400" b="1">
            <a:solidFill>
              <a:schemeClr val="accent4">
                <a:lumMod val="50000"/>
              </a:schemeClr>
            </a:solidFill>
          </a:endParaRPr>
        </a:p>
      </xdr:txBody>
    </xdr:sp>
    <xdr:clientData/>
  </xdr:twoCellAnchor>
  <xdr:twoCellAnchor editAs="oneCell">
    <xdr:from>
      <xdr:col>6</xdr:col>
      <xdr:colOff>407088</xdr:colOff>
      <xdr:row>0</xdr:row>
      <xdr:rowOff>92944</xdr:rowOff>
    </xdr:from>
    <xdr:to>
      <xdr:col>7</xdr:col>
      <xdr:colOff>474493</xdr:colOff>
      <xdr:row>4</xdr:row>
      <xdr:rowOff>10444</xdr:rowOff>
    </xdr:to>
    <xdr:pic>
      <xdr:nvPicPr>
        <xdr:cNvPr id="78" name="Picture 77">
          <a:extLst>
            <a:ext uri="{FF2B5EF4-FFF2-40B4-BE49-F238E27FC236}">
              <a16:creationId xmlns:a16="http://schemas.microsoft.com/office/drawing/2014/main" id="{9F030C45-53F3-C2FF-DA03-B6B590EB81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67257" y="92944"/>
          <a:ext cx="677433" cy="688062"/>
        </a:xfrm>
        <a:prstGeom prst="rect">
          <a:avLst/>
        </a:prstGeom>
      </xdr:spPr>
    </xdr:pic>
    <xdr:clientData/>
  </xdr:twoCellAnchor>
  <xdr:twoCellAnchor editAs="oneCell">
    <xdr:from>
      <xdr:col>14</xdr:col>
      <xdr:colOff>224051</xdr:colOff>
      <xdr:row>5</xdr:row>
      <xdr:rowOff>99041</xdr:rowOff>
    </xdr:from>
    <xdr:to>
      <xdr:col>20</xdr:col>
      <xdr:colOff>524931</xdr:colOff>
      <xdr:row>9</xdr:row>
      <xdr:rowOff>86894</xdr:rowOff>
    </xdr:to>
    <mc:AlternateContent xmlns:mc="http://schemas.openxmlformats.org/markup-compatibility/2006" xmlns:a14="http://schemas.microsoft.com/office/drawing/2010/main">
      <mc:Choice Requires="a14">
        <xdr:graphicFrame macro="">
          <xdr:nvGraphicFramePr>
            <xdr:cNvPr id="79" name="Region 1">
              <a:extLst>
                <a:ext uri="{FF2B5EF4-FFF2-40B4-BE49-F238E27FC236}">
                  <a16:creationId xmlns:a16="http://schemas.microsoft.com/office/drawing/2014/main" id="{942A2E59-7A54-477D-96EC-F5DC667387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53646" y="1042960"/>
              <a:ext cx="3956420" cy="742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10428</xdr:rowOff>
    </xdr:from>
    <xdr:to>
      <xdr:col>3</xdr:col>
      <xdr:colOff>6300</xdr:colOff>
      <xdr:row>46</xdr:row>
      <xdr:rowOff>158750</xdr:rowOff>
    </xdr:to>
    <mc:AlternateContent xmlns:mc="http://schemas.openxmlformats.org/markup-compatibility/2006" xmlns:a14="http://schemas.microsoft.com/office/drawing/2010/main">
      <mc:Choice Requires="a14">
        <xdr:graphicFrame macro="">
          <xdr:nvGraphicFramePr>
            <xdr:cNvPr id="80" name="Sales Person 1">
              <a:extLst>
                <a:ext uri="{FF2B5EF4-FFF2-40B4-BE49-F238E27FC236}">
                  <a16:creationId xmlns:a16="http://schemas.microsoft.com/office/drawing/2014/main" id="{E969180C-99FB-4DEC-A14D-855356C2EDCC}"/>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874982"/>
              <a:ext cx="1843264" cy="389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148187</xdr:rowOff>
    </xdr:from>
    <xdr:to>
      <xdr:col>3</xdr:col>
      <xdr:colOff>6300</xdr:colOff>
      <xdr:row>25</xdr:row>
      <xdr:rowOff>176389</xdr:rowOff>
    </xdr:to>
    <mc:AlternateContent xmlns:mc="http://schemas.openxmlformats.org/markup-compatibility/2006" xmlns:a14="http://schemas.microsoft.com/office/drawing/2010/main">
      <mc:Choice Requires="a14">
        <xdr:graphicFrame macro="">
          <xdr:nvGraphicFramePr>
            <xdr:cNvPr id="81" name="Product 1">
              <a:extLst>
                <a:ext uri="{FF2B5EF4-FFF2-40B4-BE49-F238E27FC236}">
                  <a16:creationId xmlns:a16="http://schemas.microsoft.com/office/drawing/2014/main" id="{57EC9446-CDD2-44FB-9318-32E14C5B14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019169"/>
              <a:ext cx="1843264" cy="283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100347</xdr:colOff>
      <xdr:row>10</xdr:row>
      <xdr:rowOff>124240</xdr:rowOff>
    </xdr:from>
    <xdr:to>
      <xdr:col>12</xdr:col>
      <xdr:colOff>234674</xdr:colOff>
      <xdr:row>28</xdr:row>
      <xdr:rowOff>0</xdr:rowOff>
    </xdr:to>
    <xdr:sp macro="" textlink="">
      <xdr:nvSpPr>
        <xdr:cNvPr id="82" name="Rectangle: Rounded Corners 81">
          <a:extLst>
            <a:ext uri="{FF2B5EF4-FFF2-40B4-BE49-F238E27FC236}">
              <a16:creationId xmlns:a16="http://schemas.microsoft.com/office/drawing/2014/main" id="{2E47C641-083D-4AFC-9C5F-716B448C975D}"/>
            </a:ext>
          </a:extLst>
        </xdr:cNvPr>
        <xdr:cNvSpPr/>
      </xdr:nvSpPr>
      <xdr:spPr>
        <a:xfrm>
          <a:off x="1925972" y="2064518"/>
          <a:ext cx="5611202" cy="3368260"/>
        </a:xfrm>
        <a:prstGeom prst="roundRect">
          <a:avLst>
            <a:gd name="adj" fmla="val 508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Units Sold By Product</a:t>
          </a:r>
        </a:p>
      </xdr:txBody>
    </xdr:sp>
    <xdr:clientData/>
  </xdr:twoCellAnchor>
  <xdr:twoCellAnchor>
    <xdr:from>
      <xdr:col>3</xdr:col>
      <xdr:colOff>225137</xdr:colOff>
      <xdr:row>12</xdr:row>
      <xdr:rowOff>70557</xdr:rowOff>
    </xdr:from>
    <xdr:to>
      <xdr:col>12</xdr:col>
      <xdr:colOff>109682</xdr:colOff>
      <xdr:row>25</xdr:row>
      <xdr:rowOff>185210</xdr:rowOff>
    </xdr:to>
    <xdr:graphicFrame macro="">
      <xdr:nvGraphicFramePr>
        <xdr:cNvPr id="83" name="Chart 82">
          <a:extLst>
            <a:ext uri="{FF2B5EF4-FFF2-40B4-BE49-F238E27FC236}">
              <a16:creationId xmlns:a16="http://schemas.microsoft.com/office/drawing/2014/main" id="{F3717850-C9DA-4711-A3BC-0432C7D52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330500</xdr:colOff>
      <xdr:row>28</xdr:row>
      <xdr:rowOff>5822</xdr:rowOff>
    </xdr:from>
    <xdr:to>
      <xdr:col>21</xdr:col>
      <xdr:colOff>52061</xdr:colOff>
      <xdr:row>46</xdr:row>
      <xdr:rowOff>144684</xdr:rowOff>
    </xdr:to>
    <xdr:sp macro="" textlink="">
      <xdr:nvSpPr>
        <xdr:cNvPr id="87" name="Rectangle: Rounded Corners 86">
          <a:extLst>
            <a:ext uri="{FF2B5EF4-FFF2-40B4-BE49-F238E27FC236}">
              <a16:creationId xmlns:a16="http://schemas.microsoft.com/office/drawing/2014/main" id="{73062E31-5AB4-4CCB-8B40-2C467DFF984A}"/>
            </a:ext>
          </a:extLst>
        </xdr:cNvPr>
        <xdr:cNvSpPr/>
      </xdr:nvSpPr>
      <xdr:spPr>
        <a:xfrm>
          <a:off x="7094456" y="5407341"/>
          <a:ext cx="5870611" cy="3611267"/>
        </a:xfrm>
        <a:prstGeom prst="roundRect">
          <a:avLst>
            <a:gd name="adj" fmla="val 508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 By</a:t>
          </a:r>
          <a:r>
            <a:rPr lang="en-IN" sz="1400" b="1" baseline="0">
              <a:solidFill>
                <a:schemeClr val="tx1"/>
              </a:solidFill>
            </a:rPr>
            <a:t> Sales Person</a:t>
          </a:r>
        </a:p>
        <a:p>
          <a:pPr algn="l"/>
          <a:endParaRPr lang="en-IN" sz="1100" b="1">
            <a:solidFill>
              <a:schemeClr val="tx1"/>
            </a:solidFill>
          </a:endParaRPr>
        </a:p>
      </xdr:txBody>
    </xdr:sp>
    <xdr:clientData/>
  </xdr:twoCellAnchor>
  <xdr:twoCellAnchor>
    <xdr:from>
      <xdr:col>12</xdr:col>
      <xdr:colOff>341923</xdr:colOff>
      <xdr:row>10</xdr:row>
      <xdr:rowOff>82556</xdr:rowOff>
    </xdr:from>
    <xdr:to>
      <xdr:col>20</xdr:col>
      <xdr:colOff>592244</xdr:colOff>
      <xdr:row>27</xdr:row>
      <xdr:rowOff>147789</xdr:rowOff>
    </xdr:to>
    <xdr:sp macro="" textlink="">
      <xdr:nvSpPr>
        <xdr:cNvPr id="88" name="Rectangle: Rounded Corners 87">
          <a:extLst>
            <a:ext uri="{FF2B5EF4-FFF2-40B4-BE49-F238E27FC236}">
              <a16:creationId xmlns:a16="http://schemas.microsoft.com/office/drawing/2014/main" id="{D4E2FC44-80EE-41F6-87EC-17D4FB6A0086}"/>
            </a:ext>
          </a:extLst>
        </xdr:cNvPr>
        <xdr:cNvSpPr/>
      </xdr:nvSpPr>
      <xdr:spPr>
        <a:xfrm>
          <a:off x="7666001" y="2024546"/>
          <a:ext cx="5133039" cy="3366617"/>
        </a:xfrm>
        <a:prstGeom prst="roundRect">
          <a:avLst>
            <a:gd name="adj" fmla="val 508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 By</a:t>
          </a:r>
          <a:r>
            <a:rPr lang="en-IN" sz="1400" b="1" baseline="0">
              <a:solidFill>
                <a:schemeClr val="tx1"/>
              </a:solidFill>
            </a:rPr>
            <a:t> Region</a:t>
          </a:r>
          <a:endParaRPr lang="en-IN" sz="1400" b="1">
            <a:solidFill>
              <a:schemeClr val="tx1"/>
            </a:solidFill>
          </a:endParaRPr>
        </a:p>
      </xdr:txBody>
    </xdr:sp>
    <xdr:clientData/>
  </xdr:twoCellAnchor>
  <xdr:twoCellAnchor>
    <xdr:from>
      <xdr:col>3</xdr:col>
      <xdr:colOff>56373</xdr:colOff>
      <xdr:row>28</xdr:row>
      <xdr:rowOff>57173</xdr:rowOff>
    </xdr:from>
    <xdr:to>
      <xdr:col>11</xdr:col>
      <xdr:colOff>238125</xdr:colOff>
      <xdr:row>46</xdr:row>
      <xdr:rowOff>132291</xdr:rowOff>
    </xdr:to>
    <xdr:sp macro="" textlink="">
      <xdr:nvSpPr>
        <xdr:cNvPr id="89" name="Rectangle: Rounded Corners 88">
          <a:extLst>
            <a:ext uri="{FF2B5EF4-FFF2-40B4-BE49-F238E27FC236}">
              <a16:creationId xmlns:a16="http://schemas.microsoft.com/office/drawing/2014/main" id="{49102157-5512-45E7-8F20-CC35EF79AA0D}"/>
            </a:ext>
          </a:extLst>
        </xdr:cNvPr>
        <xdr:cNvSpPr/>
      </xdr:nvSpPr>
      <xdr:spPr>
        <a:xfrm>
          <a:off x="1881998" y="5489951"/>
          <a:ext cx="5050085" cy="3567618"/>
        </a:xfrm>
        <a:prstGeom prst="roundRect">
          <a:avLst>
            <a:gd name="adj" fmla="val 508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 By Product</a:t>
          </a:r>
        </a:p>
      </xdr:txBody>
    </xdr:sp>
    <xdr:clientData/>
  </xdr:twoCellAnchor>
  <xdr:twoCellAnchor>
    <xdr:from>
      <xdr:col>12</xdr:col>
      <xdr:colOff>517663</xdr:colOff>
      <xdr:row>12</xdr:row>
      <xdr:rowOff>124239</xdr:rowOff>
    </xdr:from>
    <xdr:to>
      <xdr:col>20</xdr:col>
      <xdr:colOff>341658</xdr:colOff>
      <xdr:row>25</xdr:row>
      <xdr:rowOff>155299</xdr:rowOff>
    </xdr:to>
    <xdr:graphicFrame macro="">
      <xdr:nvGraphicFramePr>
        <xdr:cNvPr id="90" name="Chart 89">
          <a:extLst>
            <a:ext uri="{FF2B5EF4-FFF2-40B4-BE49-F238E27FC236}">
              <a16:creationId xmlns:a16="http://schemas.microsoft.com/office/drawing/2014/main" id="{12941CBA-6B0A-4026-99A1-CA755385C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171794</xdr:colOff>
      <xdr:row>30</xdr:row>
      <xdr:rowOff>53424</xdr:rowOff>
    </xdr:from>
    <xdr:to>
      <xdr:col>11</xdr:col>
      <xdr:colOff>0</xdr:colOff>
      <xdr:row>45</xdr:row>
      <xdr:rowOff>88194</xdr:rowOff>
    </xdr:to>
    <xdr:graphicFrame macro="">
      <xdr:nvGraphicFramePr>
        <xdr:cNvPr id="91" name="Chart 90">
          <a:extLst>
            <a:ext uri="{FF2B5EF4-FFF2-40B4-BE49-F238E27FC236}">
              <a16:creationId xmlns:a16="http://schemas.microsoft.com/office/drawing/2014/main" id="{2A973DF2-99F2-4B90-9B74-90F66668A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518045</xdr:colOff>
      <xdr:row>29</xdr:row>
      <xdr:rowOff>156741</xdr:rowOff>
    </xdr:from>
    <xdr:to>
      <xdr:col>20</xdr:col>
      <xdr:colOff>546806</xdr:colOff>
      <xdr:row>46</xdr:row>
      <xdr:rowOff>24114</xdr:rowOff>
    </xdr:to>
    <xdr:graphicFrame macro="">
      <xdr:nvGraphicFramePr>
        <xdr:cNvPr id="92" name="Chart 91">
          <a:extLst>
            <a:ext uri="{FF2B5EF4-FFF2-40B4-BE49-F238E27FC236}">
              <a16:creationId xmlns:a16="http://schemas.microsoft.com/office/drawing/2014/main" id="{4BE09651-74EC-40E7-BAE4-D6F4D995A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212612</xdr:colOff>
      <xdr:row>7</xdr:row>
      <xdr:rowOff>34019</xdr:rowOff>
    </xdr:from>
    <xdr:to>
      <xdr:col>3</xdr:col>
      <xdr:colOff>76541</xdr:colOff>
      <xdr:row>8</xdr:row>
      <xdr:rowOff>102054</xdr:rowOff>
    </xdr:to>
    <xdr:sp macro="" textlink="'Pivot Table'!J49">
      <xdr:nvSpPr>
        <xdr:cNvPr id="39" name="TextBox 38">
          <a:extLst>
            <a:ext uri="{FF2B5EF4-FFF2-40B4-BE49-F238E27FC236}">
              <a16:creationId xmlns:a16="http://schemas.microsoft.com/office/drawing/2014/main" id="{1332EB25-5337-6AEA-3452-9DE45C0D5E96}"/>
            </a:ext>
          </a:extLst>
        </xdr:cNvPr>
        <xdr:cNvSpPr txBox="1"/>
      </xdr:nvSpPr>
      <xdr:spPr>
        <a:xfrm>
          <a:off x="824933" y="1343707"/>
          <a:ext cx="1088572" cy="255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DD39FC-962B-4FCA-A659-3EB9589B64B1}" type="TxLink">
            <a:rPr lang="en-US" sz="1600" b="1" i="0" u="none" strike="noStrike">
              <a:solidFill>
                <a:srgbClr val="002060"/>
              </a:solidFill>
              <a:latin typeface="Aptos Narrow"/>
            </a:rPr>
            <a:pPr/>
            <a:t>1,29,44,500</a:t>
          </a:fld>
          <a:endParaRPr lang="en-IN" sz="1600" b="1">
            <a:solidFill>
              <a:srgbClr val="002060"/>
            </a:solidFill>
          </a:endParaRPr>
        </a:p>
      </xdr:txBody>
    </xdr:sp>
    <xdr:clientData/>
  </xdr:twoCellAnchor>
  <xdr:twoCellAnchor>
    <xdr:from>
      <xdr:col>8</xdr:col>
      <xdr:colOff>561293</xdr:colOff>
      <xdr:row>7</xdr:row>
      <xdr:rowOff>8505</xdr:rowOff>
    </xdr:from>
    <xdr:to>
      <xdr:col>10</xdr:col>
      <xdr:colOff>331672</xdr:colOff>
      <xdr:row>8</xdr:row>
      <xdr:rowOff>153275</xdr:rowOff>
    </xdr:to>
    <xdr:sp macro="" textlink="'Pivot Table'!J51">
      <xdr:nvSpPr>
        <xdr:cNvPr id="58" name="TextBox 57">
          <a:extLst>
            <a:ext uri="{FF2B5EF4-FFF2-40B4-BE49-F238E27FC236}">
              <a16:creationId xmlns:a16="http://schemas.microsoft.com/office/drawing/2014/main" id="{E9FB699F-EED6-B86C-E99F-97F028F04E08}"/>
            </a:ext>
          </a:extLst>
        </xdr:cNvPr>
        <xdr:cNvSpPr txBox="1"/>
      </xdr:nvSpPr>
      <xdr:spPr>
        <a:xfrm>
          <a:off x="5466121" y="1311350"/>
          <a:ext cx="996585" cy="330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68E64-D7E9-4CC0-8668-6BC68006FF17}" type="TxLink">
            <a:rPr lang="en-US" sz="1600" b="1" i="0" u="none" strike="noStrike">
              <a:solidFill>
                <a:schemeClr val="accent4">
                  <a:lumMod val="50000"/>
                </a:schemeClr>
              </a:solidFill>
              <a:latin typeface="Aptos Narrow"/>
            </a:rPr>
            <a:pPr/>
            <a:t>4705</a:t>
          </a:fld>
          <a:endParaRPr lang="en-IN" sz="1600" b="1">
            <a:solidFill>
              <a:schemeClr val="accent4">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42306</xdr:rowOff>
    </xdr:from>
    <xdr:to>
      <xdr:col>3</xdr:col>
      <xdr:colOff>578970</xdr:colOff>
      <xdr:row>35</xdr:row>
      <xdr:rowOff>183977</xdr:rowOff>
    </xdr:to>
    <xdr:graphicFrame macro="">
      <xdr:nvGraphicFramePr>
        <xdr:cNvPr id="3" name="Chart 2">
          <a:extLst>
            <a:ext uri="{FF2B5EF4-FFF2-40B4-BE49-F238E27FC236}">
              <a16:creationId xmlns:a16="http://schemas.microsoft.com/office/drawing/2014/main" id="{798902ED-76D9-F1EA-1532-83AC63642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827549</xdr:colOff>
      <xdr:row>24</xdr:row>
      <xdr:rowOff>2065</xdr:rowOff>
    </xdr:from>
    <xdr:to>
      <xdr:col>11</xdr:col>
      <xdr:colOff>198527</xdr:colOff>
      <xdr:row>38</xdr:row>
      <xdr:rowOff>136437</xdr:rowOff>
    </xdr:to>
    <xdr:graphicFrame macro="">
      <xdr:nvGraphicFramePr>
        <xdr:cNvPr id="4" name="Chart 3">
          <a:extLst>
            <a:ext uri="{FF2B5EF4-FFF2-40B4-BE49-F238E27FC236}">
              <a16:creationId xmlns:a16="http://schemas.microsoft.com/office/drawing/2014/main" id="{05E8F215-8E39-A312-5CA2-67FB7ED9C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474284</xdr:colOff>
      <xdr:row>19</xdr:row>
      <xdr:rowOff>156038</xdr:rowOff>
    </xdr:from>
    <xdr:to>
      <xdr:col>21</xdr:col>
      <xdr:colOff>178262</xdr:colOff>
      <xdr:row>40</xdr:row>
      <xdr:rowOff>75543</xdr:rowOff>
    </xdr:to>
    <xdr:graphicFrame macro="">
      <xdr:nvGraphicFramePr>
        <xdr:cNvPr id="5" name="Chart 4">
          <a:extLst>
            <a:ext uri="{FF2B5EF4-FFF2-40B4-BE49-F238E27FC236}">
              <a16:creationId xmlns:a16="http://schemas.microsoft.com/office/drawing/2014/main" id="{9F8527AC-77A3-BB74-55D6-D75606D37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174624</xdr:colOff>
      <xdr:row>3</xdr:row>
      <xdr:rowOff>24467</xdr:rowOff>
    </xdr:from>
    <xdr:to>
      <xdr:col>14</xdr:col>
      <xdr:colOff>497727</xdr:colOff>
      <xdr:row>17</xdr:row>
      <xdr:rowOff>152961</xdr:rowOff>
    </xdr:to>
    <xdr:graphicFrame macro="">
      <xdr:nvGraphicFramePr>
        <xdr:cNvPr id="8" name="Chart 7">
          <a:extLst>
            <a:ext uri="{FF2B5EF4-FFF2-40B4-BE49-F238E27FC236}">
              <a16:creationId xmlns:a16="http://schemas.microsoft.com/office/drawing/2014/main" id="{7ECC91DD-B37D-BE1F-FAC6-8995297E6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465762</xdr:colOff>
      <xdr:row>38</xdr:row>
      <xdr:rowOff>160632</xdr:rowOff>
    </xdr:from>
    <xdr:to>
      <xdr:col>4</xdr:col>
      <xdr:colOff>793418</xdr:colOff>
      <xdr:row>52</xdr:row>
      <xdr:rowOff>134271</xdr:rowOff>
    </xdr:to>
    <mc:AlternateContent xmlns:mc="http://schemas.openxmlformats.org/markup-compatibility/2006" xmlns:a14="http://schemas.microsoft.com/office/drawing/2010/main">
      <mc:Choice Requires="a14">
        <xdr:graphicFrame macro="">
          <xdr:nvGraphicFramePr>
            <xdr:cNvPr id="9" name="Sales Person">
              <a:extLst>
                <a:ext uri="{FF2B5EF4-FFF2-40B4-BE49-F238E27FC236}">
                  <a16:creationId xmlns:a16="http://schemas.microsoft.com/office/drawing/2014/main" id="{834E14CA-2A65-28B5-DA0D-40256C2A2A86}"/>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3337478" y="7183542"/>
              <a:ext cx="1842530" cy="260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1543385</xdr:colOff>
      <xdr:row>41</xdr:row>
      <xdr:rowOff>39694</xdr:rowOff>
    </xdr:from>
    <xdr:to>
      <xdr:col>8</xdr:col>
      <xdr:colOff>133873</xdr:colOff>
      <xdr:row>45</xdr:row>
      <xdr:rowOff>33301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070591D-1D33-631A-967F-115214C971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77452" y="7617045"/>
              <a:ext cx="1978490" cy="73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677061</xdr:colOff>
      <xdr:row>38</xdr:row>
      <xdr:rowOff>117789</xdr:rowOff>
    </xdr:from>
    <xdr:to>
      <xdr:col>2</xdr:col>
      <xdr:colOff>418598</xdr:colOff>
      <xdr:row>52</xdr:row>
      <xdr:rowOff>95809</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EBD80FE8-41BC-4612-E036-15BA8759A6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7061" y="7140699"/>
              <a:ext cx="1832500" cy="2605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 Mani" refreshedDate="46273.433829398149" createdVersion="8" refreshedVersion="8" minRefreshableVersion="3" recordCount="50" xr:uid="{7B45F782-BE8D-47DC-9E40-EAC92B523ED4}">
  <cacheSource type="worksheet">
    <worksheetSource name="Table1"/>
  </cacheSource>
  <cacheFields count="9">
    <cacheField name="Date" numFmtId="0">
      <sharedItems containsDate="1" containsMixedTypes="1" minDate="2020-01-10T00:00:00" maxDate="2021-10-09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ount="47">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032452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x v="0"/>
    <x v="0"/>
    <x v="0"/>
    <n v="6000"/>
    <n v="4000"/>
    <x v="0"/>
    <n v="168000"/>
  </r>
  <r>
    <d v="2021-07-09T00:00:00"/>
    <x v="1"/>
    <x v="1"/>
    <x v="1"/>
    <x v="1"/>
    <n v="3500"/>
    <n v="2500"/>
    <x v="1"/>
    <n v="128000"/>
  </r>
  <r>
    <d v="2021-03-02T00:00:00"/>
    <x v="2"/>
    <x v="2"/>
    <x v="2"/>
    <x v="2"/>
    <n v="1200"/>
    <n v="800"/>
    <x v="2"/>
    <n v="54400"/>
  </r>
  <r>
    <d v="2020-11-09T00:00:00"/>
    <x v="3"/>
    <x v="3"/>
    <x v="3"/>
    <x v="3"/>
    <n v="1000"/>
    <n v="700"/>
    <x v="3"/>
    <n v="27300"/>
  </r>
  <r>
    <s v="9/23/2021"/>
    <x v="4"/>
    <x v="0"/>
    <x v="4"/>
    <x v="4"/>
    <n v="4000"/>
    <n v="3000"/>
    <x v="4"/>
    <n v="110000"/>
  </r>
  <r>
    <d v="2020-01-10T00:00:00"/>
    <x v="5"/>
    <x v="1"/>
    <x v="2"/>
    <x v="5"/>
    <n v="1200"/>
    <n v="800"/>
    <x v="5"/>
    <n v="20400"/>
  </r>
  <r>
    <d v="2021-05-08T00:00:00"/>
    <x v="6"/>
    <x v="3"/>
    <x v="3"/>
    <x v="6"/>
    <n v="1000"/>
    <n v="700"/>
    <x v="6"/>
    <n v="23400"/>
  </r>
  <r>
    <d v="2020-06-11T00:00:00"/>
    <x v="7"/>
    <x v="2"/>
    <x v="0"/>
    <x v="7"/>
    <n v="6000"/>
    <n v="4000"/>
    <x v="7"/>
    <n v="292000"/>
  </r>
  <r>
    <s v="1/27/2021"/>
    <x v="8"/>
    <x v="0"/>
    <x v="5"/>
    <x v="8"/>
    <n v="600"/>
    <n v="400"/>
    <x v="8"/>
    <n v="20200"/>
  </r>
  <r>
    <d v="2021-03-09T00:00:00"/>
    <x v="9"/>
    <x v="2"/>
    <x v="0"/>
    <x v="9"/>
    <n v="6000"/>
    <n v="4000"/>
    <x v="9"/>
    <n v="104000"/>
  </r>
  <r>
    <s v="9/30/2021"/>
    <x v="9"/>
    <x v="1"/>
    <x v="2"/>
    <x v="10"/>
    <n v="1200"/>
    <n v="800"/>
    <x v="10"/>
    <n v="22000"/>
  </r>
  <r>
    <d v="2020-10-09T00:00:00"/>
    <x v="9"/>
    <x v="2"/>
    <x v="3"/>
    <x v="11"/>
    <n v="1000"/>
    <n v="700"/>
    <x v="11"/>
    <n v="41100"/>
  </r>
  <r>
    <s v="7/27/2021"/>
    <x v="7"/>
    <x v="2"/>
    <x v="1"/>
    <x v="12"/>
    <n v="3500"/>
    <n v="2500"/>
    <x v="12"/>
    <n v="96000"/>
  </r>
  <r>
    <d v="2020-09-10T00:00:00"/>
    <x v="8"/>
    <x v="1"/>
    <x v="4"/>
    <x v="9"/>
    <n v="4000"/>
    <n v="3000"/>
    <x v="13"/>
    <n v="52000"/>
  </r>
  <r>
    <d v="2021-06-04T00:00:00"/>
    <x v="3"/>
    <x v="0"/>
    <x v="1"/>
    <x v="13"/>
    <n v="3500"/>
    <n v="2500"/>
    <x v="14"/>
    <n v="76000"/>
  </r>
  <r>
    <s v="6/15/2021"/>
    <x v="1"/>
    <x v="3"/>
    <x v="4"/>
    <x v="14"/>
    <n v="4000"/>
    <n v="3000"/>
    <x v="15"/>
    <n v="145000"/>
  </r>
  <r>
    <d v="2020-09-09T00:00:00"/>
    <x v="0"/>
    <x v="2"/>
    <x v="5"/>
    <x v="15"/>
    <n v="600"/>
    <n v="400"/>
    <x v="16"/>
    <n v="16600"/>
  </r>
  <r>
    <s v="8/13/2021"/>
    <x v="4"/>
    <x v="2"/>
    <x v="3"/>
    <x v="3"/>
    <n v="1000"/>
    <n v="700"/>
    <x v="3"/>
    <n v="27300"/>
  </r>
  <r>
    <s v="8/27/2020"/>
    <x v="5"/>
    <x v="0"/>
    <x v="6"/>
    <x v="16"/>
    <n v="10000"/>
    <n v="7000"/>
    <x v="17"/>
    <n v="324000"/>
  </r>
  <r>
    <d v="2021-07-04T00:00:00"/>
    <x v="2"/>
    <x v="3"/>
    <x v="4"/>
    <x v="17"/>
    <n v="4000"/>
    <n v="3000"/>
    <x v="18"/>
    <n v="144000"/>
  </r>
  <r>
    <d v="2020-08-06T00:00:00"/>
    <x v="4"/>
    <x v="2"/>
    <x v="5"/>
    <x v="18"/>
    <n v="600"/>
    <n v="400"/>
    <x v="19"/>
    <n v="18400"/>
  </r>
  <r>
    <s v="12/21/2021"/>
    <x v="7"/>
    <x v="0"/>
    <x v="0"/>
    <x v="19"/>
    <n v="6000"/>
    <n v="4000"/>
    <x v="20"/>
    <n v="142000"/>
  </r>
  <r>
    <d v="2021-10-08T00:00:00"/>
    <x v="0"/>
    <x v="1"/>
    <x v="5"/>
    <x v="20"/>
    <n v="600"/>
    <n v="400"/>
    <x v="21"/>
    <n v="20600"/>
  </r>
  <r>
    <d v="2021-02-12T00:00:00"/>
    <x v="9"/>
    <x v="3"/>
    <x v="3"/>
    <x v="10"/>
    <n v="1000"/>
    <n v="700"/>
    <x v="22"/>
    <n v="16500"/>
  </r>
  <r>
    <s v="8/30/2021"/>
    <x v="5"/>
    <x v="1"/>
    <x v="4"/>
    <x v="21"/>
    <n v="4000"/>
    <n v="3000"/>
    <x v="23"/>
    <n v="93000"/>
  </r>
  <r>
    <s v="5/20/2020"/>
    <x v="2"/>
    <x v="2"/>
    <x v="5"/>
    <x v="22"/>
    <n v="600"/>
    <n v="400"/>
    <x v="24"/>
    <n v="28600"/>
  </r>
  <r>
    <s v="9/13/2021"/>
    <x v="6"/>
    <x v="0"/>
    <x v="1"/>
    <x v="22"/>
    <n v="3500"/>
    <n v="2500"/>
    <x v="25"/>
    <n v="143000"/>
  </r>
  <r>
    <s v="10/27/2021"/>
    <x v="8"/>
    <x v="3"/>
    <x v="5"/>
    <x v="23"/>
    <n v="600"/>
    <n v="400"/>
    <x v="26"/>
    <n v="19800"/>
  </r>
  <r>
    <s v="12/22/2020"/>
    <x v="3"/>
    <x v="0"/>
    <x v="3"/>
    <x v="24"/>
    <n v="1000"/>
    <n v="700"/>
    <x v="27"/>
    <n v="36000"/>
  </r>
  <r>
    <s v="7/28/2021"/>
    <x v="1"/>
    <x v="2"/>
    <x v="1"/>
    <x v="25"/>
    <n v="3500"/>
    <n v="2500"/>
    <x v="28"/>
    <n v="66000"/>
  </r>
  <r>
    <s v="9/29/2020"/>
    <x v="8"/>
    <x v="3"/>
    <x v="2"/>
    <x v="26"/>
    <n v="1200"/>
    <n v="800"/>
    <x v="29"/>
    <n v="35200"/>
  </r>
  <r>
    <s v="10/22/2020"/>
    <x v="3"/>
    <x v="1"/>
    <x v="6"/>
    <x v="27"/>
    <n v="10000"/>
    <n v="7000"/>
    <x v="30"/>
    <n v="381000"/>
  </r>
  <r>
    <s v="5/19/2020"/>
    <x v="4"/>
    <x v="0"/>
    <x v="4"/>
    <x v="28"/>
    <n v="4000"/>
    <n v="3000"/>
    <x v="31"/>
    <n v="67000"/>
  </r>
  <r>
    <d v="2021-06-12T00:00:00"/>
    <x v="1"/>
    <x v="1"/>
    <x v="2"/>
    <x v="28"/>
    <n v="1200"/>
    <n v="800"/>
    <x v="32"/>
    <n v="26800"/>
  </r>
  <r>
    <s v="8/26/2020"/>
    <x v="9"/>
    <x v="2"/>
    <x v="3"/>
    <x v="29"/>
    <n v="1000"/>
    <n v="700"/>
    <x v="33"/>
    <n v="44700"/>
  </r>
  <r>
    <d v="2021-01-07T00:00:00"/>
    <x v="4"/>
    <x v="3"/>
    <x v="5"/>
    <x v="30"/>
    <n v="600"/>
    <n v="400"/>
    <x v="34"/>
    <n v="20800"/>
  </r>
  <r>
    <s v="7/27/2021"/>
    <x v="7"/>
    <x v="0"/>
    <x v="5"/>
    <x v="31"/>
    <n v="600"/>
    <n v="400"/>
    <x v="35"/>
    <n v="11400"/>
  </r>
  <r>
    <d v="2020-05-10T00:00:00"/>
    <x v="2"/>
    <x v="1"/>
    <x v="5"/>
    <x v="32"/>
    <n v="600"/>
    <n v="400"/>
    <x v="36"/>
    <n v="18000"/>
  </r>
  <r>
    <d v="2020-02-09T00:00:00"/>
    <x v="5"/>
    <x v="2"/>
    <x v="5"/>
    <x v="28"/>
    <n v="600"/>
    <n v="400"/>
    <x v="37"/>
    <n v="13400"/>
  </r>
  <r>
    <d v="2021-02-09T00:00:00"/>
    <x v="0"/>
    <x v="3"/>
    <x v="4"/>
    <x v="27"/>
    <n v="4000"/>
    <n v="3000"/>
    <x v="38"/>
    <n v="127000"/>
  </r>
  <r>
    <s v="4/13/2021"/>
    <x v="5"/>
    <x v="0"/>
    <x v="3"/>
    <x v="16"/>
    <n v="1000"/>
    <n v="700"/>
    <x v="39"/>
    <n v="32400"/>
  </r>
  <r>
    <d v="2021-06-05T00:00:00"/>
    <x v="2"/>
    <x v="1"/>
    <x v="1"/>
    <x v="25"/>
    <n v="3500"/>
    <n v="2500"/>
    <x v="28"/>
    <n v="66000"/>
  </r>
  <r>
    <s v="1/15/2021"/>
    <x v="0"/>
    <x v="3"/>
    <x v="0"/>
    <x v="6"/>
    <n v="6000"/>
    <n v="4000"/>
    <x v="40"/>
    <n v="156000"/>
  </r>
  <r>
    <s v="8/27/2020"/>
    <x v="7"/>
    <x v="2"/>
    <x v="3"/>
    <x v="33"/>
    <n v="1000"/>
    <n v="700"/>
    <x v="41"/>
    <n v="20700"/>
  </r>
  <r>
    <d v="2021-05-02T00:00:00"/>
    <x v="4"/>
    <x v="0"/>
    <x v="2"/>
    <x v="34"/>
    <n v="1200"/>
    <n v="800"/>
    <x v="42"/>
    <n v="23600"/>
  </r>
  <r>
    <s v="11/17/2021"/>
    <x v="9"/>
    <x v="2"/>
    <x v="5"/>
    <x v="35"/>
    <n v="600"/>
    <n v="400"/>
    <x v="43"/>
    <n v="21800"/>
  </r>
  <r>
    <s v="12/28/2020"/>
    <x v="8"/>
    <x v="1"/>
    <x v="4"/>
    <x v="36"/>
    <n v="4000"/>
    <n v="3000"/>
    <x v="44"/>
    <n v="61000"/>
  </r>
  <r>
    <s v="10/27/2021"/>
    <x v="4"/>
    <x v="3"/>
    <x v="5"/>
    <x v="37"/>
    <n v="600"/>
    <n v="400"/>
    <x v="6"/>
    <n v="26000"/>
  </r>
  <r>
    <d v="2021-02-11T00:00:00"/>
    <x v="3"/>
    <x v="2"/>
    <x v="1"/>
    <x v="38"/>
    <n v="3500"/>
    <n v="2500"/>
    <x v="45"/>
    <n v="60000"/>
  </r>
  <r>
    <d v="2020-07-05T00:00:00"/>
    <x v="1"/>
    <x v="1"/>
    <x v="0"/>
    <x v="39"/>
    <n v="6000"/>
    <n v="4000"/>
    <x v="46"/>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DA387-E589-4E22-93F6-A25DD8C2A4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8:U13"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Average of Total Sales" fld="7" subtotal="average" baseField="2" baseItem="0" numFmtId="164"/>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8E360-2551-4D4C-BA52-810D9CC22D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E9"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C246C6-5FFD-486E-A39A-ACF704B6B9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9"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EF2CE-B0DD-4D4D-B471-E5D6E66A11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4"/>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8A50B3-3AB3-4B2A-98FC-DDB385DD46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1:E22"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F9807E-BB54-4209-B399-832CC35859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P4" firstHeaderRow="1" firstDataRow="1" firstDataCol="0"/>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numFmtId="164" showAll="0"/>
    <pivotField dataField="1" numFmtId="164" showAll="0"/>
  </pivotFields>
  <rowItems count="1">
    <i/>
  </rowItems>
  <colItems count="1">
    <i/>
  </colItems>
  <dataFields count="1">
    <dataField name="Sum of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E54DAA14-80ED-4DB0-A963-54FF48634F11}" sourceName="Sales Person">
  <pivotTables>
    <pivotTable tabId="2" name="PivotTable1"/>
    <pivotTable tabId="2" name="PivotTable2"/>
    <pivotTable tabId="2" name="PivotTable5"/>
    <pivotTable tabId="2" name="PivotTable6"/>
    <pivotTable tabId="2" name="PivotTable3"/>
    <pivotTable tabId="2" name="PivotTable11"/>
  </pivotTables>
  <data>
    <tabular pivotCacheId="103245214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B6BA1C-BE27-4C64-8555-34A33830EA3C}" sourceName="Region">
  <pivotTables>
    <pivotTable tabId="2" name="PivotTable1"/>
    <pivotTable tabId="2" name="PivotTable2"/>
    <pivotTable tabId="2" name="PivotTable5"/>
    <pivotTable tabId="2" name="PivotTable6"/>
    <pivotTable tabId="2" name="PivotTable3"/>
    <pivotTable tabId="2" name="PivotTable11"/>
  </pivotTables>
  <data>
    <tabular pivotCacheId="1032452140">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9DA7C6-FCD2-4B8F-AE63-E5718D27825E}" sourceName="Product">
  <pivotTables>
    <pivotTable tabId="2" name="PivotTable1"/>
    <pivotTable tabId="2" name="PivotTable2"/>
    <pivotTable tabId="2" name="PivotTable5"/>
    <pivotTable tabId="2" name="PivotTable6"/>
    <pivotTable tabId="2" name="PivotTable3"/>
    <pivotTable tabId="2" name="PivotTable11"/>
  </pivotTables>
  <data>
    <tabular pivotCacheId="1032452140">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B877DD13-BBDC-456B-8BB9-75B6C71EC69B}" cache="Slicer_Sales_Person" caption="Sales Person" style="SlicerStyleDark1" rowHeight="324000"/>
  <slicer name="Region 1" xr10:uid="{0F5B067B-E456-4AEB-A9AE-3F9AFBFCDF9C}" cache="Slicer_Region" caption="Region" columnCount="2" showCaption="0" style="SlicerStyleDark1" rowHeight="257175"/>
  <slicer name="Product 1" xr10:uid="{9D4B1F68-2541-400D-BF88-7136A17A6308}" cache="Slicer_Product" caption="Product"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D61A4097-8987-415C-8A9B-FF533F39A715}" cache="Slicer_Sales_Person" caption="Sales Person" rowHeight="257175"/>
  <slicer name="Region" xr10:uid="{599242CE-E664-4790-B5F9-5C998CC7DE9C}" cache="Slicer_Region" caption="Region" columnCount="2" showCaption="0" rowHeight="257175"/>
  <slicer name="Product" xr10:uid="{5F77454A-FA2C-4DF8-A4AF-AB70205637F8}"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EEE82-4166-4F0E-9D62-7C6F42B3F990}" name="Table1" displayName="Table1" ref="A1:I51" totalsRowShown="0" headerRowDxfId="11" dataDxfId="10" tableBorderDxfId="9">
  <autoFilter ref="A1:I51" xr:uid="{29FEEE82-4166-4F0E-9D62-7C6F42B3F990}"/>
  <tableColumns count="9">
    <tableColumn id="1" xr3:uid="{5E38564A-0E01-48BA-BABD-E85C89BD3721}" name="Date" dataDxfId="8"/>
    <tableColumn id="2" xr3:uid="{406899EF-08FD-4F8A-8F5D-A08725476AE5}" name="Sales Person" dataDxfId="7"/>
    <tableColumn id="3" xr3:uid="{3EBD00BA-C906-45F9-BDAD-C5E64C57696E}" name="Region" dataDxfId="6"/>
    <tableColumn id="4" xr3:uid="{2C1E1F4D-83A8-4556-9237-7FE046D60479}" name="Product" dataDxfId="5"/>
    <tableColumn id="5" xr3:uid="{A6614F80-2BC2-49EE-9747-7A7EE5D118CD}" name="Units Sold" dataDxfId="4"/>
    <tableColumn id="6" xr3:uid="{D4510BF4-F907-4A0E-AB56-F5800094FB4B}" name="Unit Price" dataDxfId="3">
      <calculatedColumnFormula>IF(D2="Tent",6000,IF(D2="Blender",3500,IF(D2="Action Figure",1200,IF(D2="Novel",1000,IF(D2="Sneakers",4000,IF(D2="Smartphone",10000,IF(D2="moisturizer",600,"No Product Found")))))))</calculatedColumnFormula>
    </tableColumn>
    <tableColumn id="7" xr3:uid="{2F435851-42B6-4CA4-9247-98EC38B67893}" name="Cost of Goods" dataDxfId="2">
      <calculatedColumnFormula>IF(D2="Tent",4000,IF(D2="Blender",2500,IF(D2="Action Figure",800,IF(D2="Novel",700,IF(D2="Sneakers",3000,IF(D2="Smartphone",7000,IF(D2="moisturizer",400,"No Product Found")))))))</calculatedColumnFormula>
    </tableColumn>
    <tableColumn id="8" xr3:uid="{FD6B44A0-07E2-4B4C-B4AC-02F241922375}" name="Total Sales" dataDxfId="1">
      <calculatedColumnFormula>E2*F2</calculatedColumnFormula>
    </tableColumn>
    <tableColumn id="9" xr3:uid="{7387F88E-6856-46FB-B8E5-117C3821BAB1}"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C5E2-AA9F-4437-883E-60749DDA997B}">
  <dimension ref="A1"/>
  <sheetViews>
    <sheetView showGridLines="0" showRowColHeaders="0" tabSelected="1" zoomScale="85" zoomScaleNormal="89" workbookViewId="0">
      <selection activeCell="AH10" sqref="AH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BA92-83D0-4C8D-B6F3-7364D5F62C35}">
  <dimension ref="A1:K51"/>
  <sheetViews>
    <sheetView zoomScale="130" zoomScaleNormal="130" workbookViewId="0">
      <selection activeCell="K14" sqref="K14"/>
    </sheetView>
  </sheetViews>
  <sheetFormatPr defaultRowHeight="15" x14ac:dyDescent="0.25"/>
  <cols>
    <col min="1" max="1" width="14.28515625" bestFit="1" customWidth="1"/>
    <col min="2" max="2" width="17.28515625" customWidth="1"/>
    <col min="3" max="3" width="11.85546875" customWidth="1"/>
    <col min="4" max="4" width="21.140625" customWidth="1"/>
    <col min="5" max="5" width="15.85546875" customWidth="1"/>
    <col min="6" max="6" width="14.140625" customWidth="1"/>
    <col min="7" max="7" width="18" customWidth="1"/>
    <col min="8" max="8" width="20.28515625" bestFit="1" customWidth="1"/>
    <col min="9" max="9" width="16.42578125" bestFit="1" customWidth="1"/>
    <col min="10" max="10" width="9.140625" customWidth="1"/>
    <col min="11" max="11" width="16.5703125" bestFit="1" customWidth="1"/>
    <col min="13" max="13" width="9.140625" customWidth="1"/>
    <col min="17" max="17" width="9.140625" customWidth="1"/>
  </cols>
  <sheetData>
    <row r="1" spans="1:11" ht="15.75" thickBot="1" x14ac:dyDescent="0.3">
      <c r="A1" s="7" t="s">
        <v>0</v>
      </c>
      <c r="B1" s="3" t="s">
        <v>1</v>
      </c>
      <c r="C1" s="3" t="s">
        <v>2</v>
      </c>
      <c r="D1" s="3" t="s">
        <v>3</v>
      </c>
      <c r="E1" s="3" t="s">
        <v>4</v>
      </c>
      <c r="F1" s="3" t="s">
        <v>5</v>
      </c>
      <c r="G1" s="3" t="s">
        <v>6</v>
      </c>
      <c r="H1" s="3" t="s">
        <v>7</v>
      </c>
      <c r="I1" s="4" t="s">
        <v>52</v>
      </c>
      <c r="K1" s="13" t="s">
        <v>53</v>
      </c>
    </row>
    <row r="2" spans="1:11" ht="16.5" thickTop="1" thickBot="1" x14ac:dyDescent="0.3">
      <c r="A2" s="8" t="s">
        <v>8</v>
      </c>
      <c r="B2" s="5" t="s">
        <v>9</v>
      </c>
      <c r="C2" s="5" t="s">
        <v>10</v>
      </c>
      <c r="D2" s="5" t="s">
        <v>11</v>
      </c>
      <c r="E2" s="5">
        <v>84</v>
      </c>
      <c r="F2" s="6">
        <f>IF(D2="Tent",6000,IF(D2="Blender",3500,IF(D2="Action Figure",1200,IF(D2="Novel",1000,IF(D2="Sneakers",4000,IF(D2="Smartphone",10000,IF(D2="moisturizer",600,"No Product Found")))))))</f>
        <v>6000</v>
      </c>
      <c r="G2" s="6">
        <f>IF(D2="Tent",4000,IF(D2="Blender",2500,IF(D2="Action Figure",800,IF(D2="Novel",700,IF(D2="Sneakers",3000,IF(D2="Smartphone",7000,IF(D2="moisturizer",400,"No Product Found")))))))</f>
        <v>4000</v>
      </c>
      <c r="H2" s="6">
        <f>E2*F2</f>
        <v>504000</v>
      </c>
      <c r="I2" s="6">
        <f>H2-(G2*E2)</f>
        <v>168000</v>
      </c>
      <c r="K2" s="12">
        <f>SUM(H2:H51)</f>
        <v>12944500</v>
      </c>
    </row>
    <row r="3" spans="1:11" ht="15.75" thickBot="1" x14ac:dyDescent="0.3">
      <c r="A3" s="9">
        <v>44386</v>
      </c>
      <c r="B3" s="5" t="s">
        <v>12</v>
      </c>
      <c r="C3" s="5" t="s">
        <v>13</v>
      </c>
      <c r="D3" s="5" t="s">
        <v>14</v>
      </c>
      <c r="E3" s="5">
        <v>128</v>
      </c>
      <c r="F3" s="6">
        <f t="shared" ref="F3:F51" si="0">IF(D3="Tent",6000,IF(D3="Blender",3500,IF(D3="Action Figure",1200,IF(D3="Novel",1000,IF(D3="Sneakers",4000,IF(D3="Smartphone",10000,IF(D3="moisturizer",600,"No Product Found")))))))</f>
        <v>3500</v>
      </c>
      <c r="G3" s="6">
        <f t="shared" ref="G3:G51" si="1">IF(D3="Tent",4000,IF(D3="Blender",2500,IF(D3="Action Figure",800,IF(D3="Novel",700,IF(D3="Sneakers",3000,IF(D3="Smartphone",7000,IF(D3="moisturizer",400,"No Product Found")))))))</f>
        <v>2500</v>
      </c>
      <c r="H3" s="6">
        <f t="shared" ref="H3:H51" si="2">E3*F3</f>
        <v>448000</v>
      </c>
      <c r="I3" s="6">
        <f t="shared" ref="I3:I51" si="3">H3-(G3*E3)</f>
        <v>128000</v>
      </c>
      <c r="K3" s="2"/>
    </row>
    <row r="4" spans="1:11" ht="15.75" thickBot="1" x14ac:dyDescent="0.3">
      <c r="A4" s="9">
        <v>44257</v>
      </c>
      <c r="B4" s="5" t="s">
        <v>15</v>
      </c>
      <c r="C4" s="5" t="s">
        <v>16</v>
      </c>
      <c r="D4" s="5" t="s">
        <v>17</v>
      </c>
      <c r="E4" s="5">
        <v>136</v>
      </c>
      <c r="F4" s="6">
        <f t="shared" si="0"/>
        <v>1200</v>
      </c>
      <c r="G4" s="6">
        <f t="shared" si="1"/>
        <v>800</v>
      </c>
      <c r="H4" s="6">
        <f t="shared" si="2"/>
        <v>163200</v>
      </c>
      <c r="I4" s="6">
        <f t="shared" si="3"/>
        <v>54400</v>
      </c>
      <c r="K4" s="13" t="s">
        <v>54</v>
      </c>
    </row>
    <row r="5" spans="1:11" ht="15.75" thickBot="1" x14ac:dyDescent="0.3">
      <c r="A5" s="9">
        <v>44144</v>
      </c>
      <c r="B5" s="5" t="s">
        <v>18</v>
      </c>
      <c r="C5" s="5" t="s">
        <v>19</v>
      </c>
      <c r="D5" s="5" t="s">
        <v>20</v>
      </c>
      <c r="E5" s="5">
        <v>91</v>
      </c>
      <c r="F5" s="6">
        <f t="shared" si="0"/>
        <v>1000</v>
      </c>
      <c r="G5" s="6">
        <f t="shared" si="1"/>
        <v>700</v>
      </c>
      <c r="H5" s="6">
        <f t="shared" si="2"/>
        <v>91000</v>
      </c>
      <c r="I5" s="6">
        <f t="shared" si="3"/>
        <v>27300</v>
      </c>
      <c r="K5" s="2">
        <f>SUM(E2:E51)</f>
        <v>4705</v>
      </c>
    </row>
    <row r="6" spans="1:11" ht="15.75" thickBot="1" x14ac:dyDescent="0.3">
      <c r="A6" s="8" t="s">
        <v>21</v>
      </c>
      <c r="B6" s="5" t="s">
        <v>22</v>
      </c>
      <c r="C6" s="5" t="s">
        <v>10</v>
      </c>
      <c r="D6" s="5" t="s">
        <v>23</v>
      </c>
      <c r="E6" s="5">
        <v>110</v>
      </c>
      <c r="F6" s="6">
        <f t="shared" si="0"/>
        <v>4000</v>
      </c>
      <c r="G6" s="6">
        <f t="shared" si="1"/>
        <v>3000</v>
      </c>
      <c r="H6" s="6">
        <f t="shared" si="2"/>
        <v>440000</v>
      </c>
      <c r="I6" s="6">
        <f t="shared" si="3"/>
        <v>110000</v>
      </c>
      <c r="K6" s="2"/>
    </row>
    <row r="7" spans="1:11" ht="15.75" thickBot="1" x14ac:dyDescent="0.3">
      <c r="A7" s="9">
        <v>43840</v>
      </c>
      <c r="B7" s="5" t="s">
        <v>24</v>
      </c>
      <c r="C7" s="5" t="s">
        <v>13</v>
      </c>
      <c r="D7" s="5" t="s">
        <v>17</v>
      </c>
      <c r="E7" s="5">
        <v>51</v>
      </c>
      <c r="F7" s="6">
        <f t="shared" si="0"/>
        <v>1200</v>
      </c>
      <c r="G7" s="6">
        <f t="shared" si="1"/>
        <v>800</v>
      </c>
      <c r="H7" s="6">
        <f t="shared" si="2"/>
        <v>61200</v>
      </c>
      <c r="I7" s="6">
        <f t="shared" si="3"/>
        <v>20400</v>
      </c>
      <c r="K7" s="13" t="s">
        <v>55</v>
      </c>
    </row>
    <row r="8" spans="1:11" ht="15.75" thickBot="1" x14ac:dyDescent="0.3">
      <c r="A8" s="9">
        <v>44324</v>
      </c>
      <c r="B8" s="5" t="s">
        <v>25</v>
      </c>
      <c r="C8" s="5" t="s">
        <v>19</v>
      </c>
      <c r="D8" s="5" t="s">
        <v>20</v>
      </c>
      <c r="E8" s="5">
        <v>78</v>
      </c>
      <c r="F8" s="6">
        <f t="shared" si="0"/>
        <v>1000</v>
      </c>
      <c r="G8" s="6">
        <f t="shared" si="1"/>
        <v>700</v>
      </c>
      <c r="H8" s="6">
        <f t="shared" si="2"/>
        <v>78000</v>
      </c>
      <c r="I8" s="6">
        <f t="shared" si="3"/>
        <v>23400</v>
      </c>
      <c r="K8" s="12">
        <f>SUM(I2:I51)</f>
        <v>3834400</v>
      </c>
    </row>
    <row r="9" spans="1:11" ht="15.75" thickBot="1" x14ac:dyDescent="0.3">
      <c r="A9" s="9">
        <v>43993</v>
      </c>
      <c r="B9" s="5" t="s">
        <v>26</v>
      </c>
      <c r="C9" s="5" t="s">
        <v>16</v>
      </c>
      <c r="D9" s="5" t="s">
        <v>11</v>
      </c>
      <c r="E9" s="5">
        <v>146</v>
      </c>
      <c r="F9" s="6">
        <f t="shared" si="0"/>
        <v>6000</v>
      </c>
      <c r="G9" s="6">
        <f t="shared" si="1"/>
        <v>4000</v>
      </c>
      <c r="H9" s="6">
        <f t="shared" si="2"/>
        <v>876000</v>
      </c>
      <c r="I9" s="6">
        <f t="shared" si="3"/>
        <v>292000</v>
      </c>
      <c r="K9" s="2"/>
    </row>
    <row r="10" spans="1:11" ht="15.75" thickBot="1" x14ac:dyDescent="0.3">
      <c r="A10" s="8" t="s">
        <v>27</v>
      </c>
      <c r="B10" s="5" t="s">
        <v>28</v>
      </c>
      <c r="C10" s="5" t="s">
        <v>10</v>
      </c>
      <c r="D10" s="5" t="s">
        <v>29</v>
      </c>
      <c r="E10" s="5">
        <v>101</v>
      </c>
      <c r="F10" s="6">
        <f t="shared" si="0"/>
        <v>600</v>
      </c>
      <c r="G10" s="6">
        <f t="shared" si="1"/>
        <v>400</v>
      </c>
      <c r="H10" s="6">
        <f t="shared" si="2"/>
        <v>60600</v>
      </c>
      <c r="I10" s="6">
        <f t="shared" si="3"/>
        <v>20200</v>
      </c>
      <c r="K10" s="13" t="s">
        <v>56</v>
      </c>
    </row>
    <row r="11" spans="1:11" ht="15.75" thickBot="1" x14ac:dyDescent="0.3">
      <c r="A11" s="9">
        <v>44264</v>
      </c>
      <c r="B11" s="5" t="s">
        <v>30</v>
      </c>
      <c r="C11" s="5" t="s">
        <v>16</v>
      </c>
      <c r="D11" s="5" t="s">
        <v>11</v>
      </c>
      <c r="E11" s="5">
        <v>52</v>
      </c>
      <c r="F11" s="6">
        <f t="shared" si="0"/>
        <v>6000</v>
      </c>
      <c r="G11" s="6">
        <f t="shared" si="1"/>
        <v>4000</v>
      </c>
      <c r="H11" s="6">
        <f t="shared" si="2"/>
        <v>312000</v>
      </c>
      <c r="I11" s="6">
        <f t="shared" si="3"/>
        <v>104000</v>
      </c>
      <c r="K11" s="12">
        <f>AVERAGE(H2:H51)</f>
        <v>258890</v>
      </c>
    </row>
    <row r="12" spans="1:11" ht="15.75" thickBot="1" x14ac:dyDescent="0.3">
      <c r="A12" s="8" t="s">
        <v>31</v>
      </c>
      <c r="B12" s="5" t="s">
        <v>30</v>
      </c>
      <c r="C12" s="5" t="s">
        <v>13</v>
      </c>
      <c r="D12" s="5" t="s">
        <v>17</v>
      </c>
      <c r="E12" s="5">
        <v>55</v>
      </c>
      <c r="F12" s="6">
        <f t="shared" si="0"/>
        <v>1200</v>
      </c>
      <c r="G12" s="6">
        <f t="shared" si="1"/>
        <v>800</v>
      </c>
      <c r="H12" s="6">
        <f t="shared" si="2"/>
        <v>66000</v>
      </c>
      <c r="I12" s="6">
        <f t="shared" si="3"/>
        <v>22000</v>
      </c>
    </row>
    <row r="13" spans="1:11" ht="15.75" thickBot="1" x14ac:dyDescent="0.3">
      <c r="A13" s="9">
        <v>44113</v>
      </c>
      <c r="B13" s="5" t="s">
        <v>30</v>
      </c>
      <c r="C13" s="5" t="s">
        <v>16</v>
      </c>
      <c r="D13" s="5" t="s">
        <v>20</v>
      </c>
      <c r="E13" s="5">
        <v>137</v>
      </c>
      <c r="F13" s="6">
        <f t="shared" si="0"/>
        <v>1000</v>
      </c>
      <c r="G13" s="6">
        <f t="shared" si="1"/>
        <v>700</v>
      </c>
      <c r="H13" s="6">
        <f t="shared" si="2"/>
        <v>137000</v>
      </c>
      <c r="I13" s="6">
        <f t="shared" si="3"/>
        <v>41100</v>
      </c>
    </row>
    <row r="14" spans="1:11" ht="15.75" thickBot="1" x14ac:dyDescent="0.3">
      <c r="A14" s="8" t="s">
        <v>32</v>
      </c>
      <c r="B14" s="5" t="s">
        <v>26</v>
      </c>
      <c r="C14" s="5" t="s">
        <v>16</v>
      </c>
      <c r="D14" s="5" t="s">
        <v>14</v>
      </c>
      <c r="E14" s="5">
        <v>96</v>
      </c>
      <c r="F14" s="6">
        <f t="shared" si="0"/>
        <v>3500</v>
      </c>
      <c r="G14" s="6">
        <f t="shared" si="1"/>
        <v>2500</v>
      </c>
      <c r="H14" s="6">
        <f t="shared" si="2"/>
        <v>336000</v>
      </c>
      <c r="I14" s="6">
        <f t="shared" si="3"/>
        <v>96000</v>
      </c>
    </row>
    <row r="15" spans="1:11" ht="15.75" thickBot="1" x14ac:dyDescent="0.3">
      <c r="A15" s="9">
        <v>44084</v>
      </c>
      <c r="B15" s="5" t="s">
        <v>28</v>
      </c>
      <c r="C15" s="5" t="s">
        <v>13</v>
      </c>
      <c r="D15" s="5" t="s">
        <v>23</v>
      </c>
      <c r="E15" s="5">
        <v>52</v>
      </c>
      <c r="F15" s="6">
        <f t="shared" si="0"/>
        <v>4000</v>
      </c>
      <c r="G15" s="6">
        <f t="shared" si="1"/>
        <v>3000</v>
      </c>
      <c r="H15" s="6">
        <f t="shared" si="2"/>
        <v>208000</v>
      </c>
      <c r="I15" s="6">
        <f t="shared" si="3"/>
        <v>52000</v>
      </c>
    </row>
    <row r="16" spans="1:11" ht="15.75" thickBot="1" x14ac:dyDescent="0.3">
      <c r="A16" s="9">
        <v>44351</v>
      </c>
      <c r="B16" s="5" t="s">
        <v>18</v>
      </c>
      <c r="C16" s="5" t="s">
        <v>10</v>
      </c>
      <c r="D16" s="5" t="s">
        <v>14</v>
      </c>
      <c r="E16" s="5">
        <v>76</v>
      </c>
      <c r="F16" s="6">
        <f t="shared" si="0"/>
        <v>3500</v>
      </c>
      <c r="G16" s="6">
        <f t="shared" si="1"/>
        <v>2500</v>
      </c>
      <c r="H16" s="6">
        <f t="shared" si="2"/>
        <v>266000</v>
      </c>
      <c r="I16" s="6">
        <f t="shared" si="3"/>
        <v>76000</v>
      </c>
    </row>
    <row r="17" spans="1:9" ht="15.75" thickBot="1" x14ac:dyDescent="0.3">
      <c r="A17" s="8" t="s">
        <v>33</v>
      </c>
      <c r="B17" s="5" t="s">
        <v>12</v>
      </c>
      <c r="C17" s="5" t="s">
        <v>19</v>
      </c>
      <c r="D17" s="5" t="s">
        <v>23</v>
      </c>
      <c r="E17" s="5">
        <v>145</v>
      </c>
      <c r="F17" s="6">
        <f t="shared" si="0"/>
        <v>4000</v>
      </c>
      <c r="G17" s="6">
        <f t="shared" si="1"/>
        <v>3000</v>
      </c>
      <c r="H17" s="6">
        <f t="shared" si="2"/>
        <v>580000</v>
      </c>
      <c r="I17" s="6">
        <f t="shared" si="3"/>
        <v>145000</v>
      </c>
    </row>
    <row r="18" spans="1:9" ht="15.75" thickBot="1" x14ac:dyDescent="0.3">
      <c r="A18" s="9">
        <v>44083</v>
      </c>
      <c r="B18" s="5" t="s">
        <v>9</v>
      </c>
      <c r="C18" s="5" t="s">
        <v>16</v>
      </c>
      <c r="D18" s="5" t="s">
        <v>29</v>
      </c>
      <c r="E18" s="5">
        <v>83</v>
      </c>
      <c r="F18" s="6">
        <f t="shared" si="0"/>
        <v>600</v>
      </c>
      <c r="G18" s="6">
        <f t="shared" si="1"/>
        <v>400</v>
      </c>
      <c r="H18" s="6">
        <f t="shared" si="2"/>
        <v>49800</v>
      </c>
      <c r="I18" s="6">
        <f t="shared" si="3"/>
        <v>16600</v>
      </c>
    </row>
    <row r="19" spans="1:9" ht="15.75" thickBot="1" x14ac:dyDescent="0.3">
      <c r="A19" s="8" t="s">
        <v>34</v>
      </c>
      <c r="B19" s="5" t="s">
        <v>22</v>
      </c>
      <c r="C19" s="5" t="s">
        <v>16</v>
      </c>
      <c r="D19" s="5" t="s">
        <v>20</v>
      </c>
      <c r="E19" s="5">
        <v>91</v>
      </c>
      <c r="F19" s="6">
        <f t="shared" si="0"/>
        <v>1000</v>
      </c>
      <c r="G19" s="6">
        <f t="shared" si="1"/>
        <v>700</v>
      </c>
      <c r="H19" s="6">
        <f t="shared" si="2"/>
        <v>91000</v>
      </c>
      <c r="I19" s="6">
        <f t="shared" si="3"/>
        <v>27300</v>
      </c>
    </row>
    <row r="20" spans="1:9" ht="15.75" thickBot="1" x14ac:dyDescent="0.3">
      <c r="A20" s="8" t="s">
        <v>35</v>
      </c>
      <c r="B20" s="5" t="s">
        <v>24</v>
      </c>
      <c r="C20" s="5" t="s">
        <v>10</v>
      </c>
      <c r="D20" s="5" t="s">
        <v>36</v>
      </c>
      <c r="E20" s="5">
        <v>108</v>
      </c>
      <c r="F20" s="6">
        <f t="shared" si="0"/>
        <v>10000</v>
      </c>
      <c r="G20" s="6">
        <f t="shared" si="1"/>
        <v>7000</v>
      </c>
      <c r="H20" s="6">
        <f t="shared" si="2"/>
        <v>1080000</v>
      </c>
      <c r="I20" s="6">
        <f t="shared" si="3"/>
        <v>324000</v>
      </c>
    </row>
    <row r="21" spans="1:9" ht="15.75" thickBot="1" x14ac:dyDescent="0.3">
      <c r="A21" s="9">
        <v>44381</v>
      </c>
      <c r="B21" s="5" t="s">
        <v>15</v>
      </c>
      <c r="C21" s="5" t="s">
        <v>19</v>
      </c>
      <c r="D21" s="5" t="s">
        <v>23</v>
      </c>
      <c r="E21" s="5">
        <v>144</v>
      </c>
      <c r="F21" s="6">
        <f t="shared" si="0"/>
        <v>4000</v>
      </c>
      <c r="G21" s="6">
        <f t="shared" si="1"/>
        <v>3000</v>
      </c>
      <c r="H21" s="6">
        <f t="shared" si="2"/>
        <v>576000</v>
      </c>
      <c r="I21" s="6">
        <f t="shared" si="3"/>
        <v>144000</v>
      </c>
    </row>
    <row r="22" spans="1:9" ht="15.75" thickBot="1" x14ac:dyDescent="0.3">
      <c r="A22" s="9">
        <v>44049</v>
      </c>
      <c r="B22" s="5" t="s">
        <v>22</v>
      </c>
      <c r="C22" s="5" t="s">
        <v>16</v>
      </c>
      <c r="D22" s="5" t="s">
        <v>29</v>
      </c>
      <c r="E22" s="5">
        <v>92</v>
      </c>
      <c r="F22" s="6">
        <f t="shared" si="0"/>
        <v>600</v>
      </c>
      <c r="G22" s="6">
        <f t="shared" si="1"/>
        <v>400</v>
      </c>
      <c r="H22" s="6">
        <f t="shared" si="2"/>
        <v>55200</v>
      </c>
      <c r="I22" s="6">
        <f t="shared" si="3"/>
        <v>18400</v>
      </c>
    </row>
    <row r="23" spans="1:9" ht="15.75" thickBot="1" x14ac:dyDescent="0.3">
      <c r="A23" s="8" t="s">
        <v>37</v>
      </c>
      <c r="B23" s="5" t="s">
        <v>26</v>
      </c>
      <c r="C23" s="5" t="s">
        <v>10</v>
      </c>
      <c r="D23" s="5" t="s">
        <v>11</v>
      </c>
      <c r="E23" s="5">
        <v>71</v>
      </c>
      <c r="F23" s="6">
        <f t="shared" si="0"/>
        <v>6000</v>
      </c>
      <c r="G23" s="6">
        <f t="shared" si="1"/>
        <v>4000</v>
      </c>
      <c r="H23" s="6">
        <f t="shared" si="2"/>
        <v>426000</v>
      </c>
      <c r="I23" s="6">
        <f t="shared" si="3"/>
        <v>142000</v>
      </c>
    </row>
    <row r="24" spans="1:9" ht="15.75" thickBot="1" x14ac:dyDescent="0.3">
      <c r="A24" s="9">
        <v>44477</v>
      </c>
      <c r="B24" s="5" t="s">
        <v>9</v>
      </c>
      <c r="C24" s="5" t="s">
        <v>13</v>
      </c>
      <c r="D24" s="5" t="s">
        <v>29</v>
      </c>
      <c r="E24" s="5">
        <v>103</v>
      </c>
      <c r="F24" s="6">
        <f t="shared" si="0"/>
        <v>600</v>
      </c>
      <c r="G24" s="6">
        <f t="shared" si="1"/>
        <v>400</v>
      </c>
      <c r="H24" s="6">
        <f t="shared" si="2"/>
        <v>61800</v>
      </c>
      <c r="I24" s="6">
        <f t="shared" si="3"/>
        <v>20600</v>
      </c>
    </row>
    <row r="25" spans="1:9" ht="15.75" thickBot="1" x14ac:dyDescent="0.3">
      <c r="A25" s="9">
        <v>44239</v>
      </c>
      <c r="B25" s="5" t="s">
        <v>30</v>
      </c>
      <c r="C25" s="5" t="s">
        <v>19</v>
      </c>
      <c r="D25" s="5" t="s">
        <v>20</v>
      </c>
      <c r="E25" s="5">
        <v>55</v>
      </c>
      <c r="F25" s="6">
        <f t="shared" si="0"/>
        <v>1000</v>
      </c>
      <c r="G25" s="6">
        <f t="shared" si="1"/>
        <v>700</v>
      </c>
      <c r="H25" s="6">
        <f t="shared" si="2"/>
        <v>55000</v>
      </c>
      <c r="I25" s="6">
        <f t="shared" si="3"/>
        <v>16500</v>
      </c>
    </row>
    <row r="26" spans="1:9" ht="15.75" thickBot="1" x14ac:dyDescent="0.3">
      <c r="A26" s="8" t="s">
        <v>38</v>
      </c>
      <c r="B26" s="5" t="s">
        <v>24</v>
      </c>
      <c r="C26" s="5" t="s">
        <v>13</v>
      </c>
      <c r="D26" s="5" t="s">
        <v>23</v>
      </c>
      <c r="E26" s="5">
        <v>93</v>
      </c>
      <c r="F26" s="6">
        <f t="shared" si="0"/>
        <v>4000</v>
      </c>
      <c r="G26" s="6">
        <f t="shared" si="1"/>
        <v>3000</v>
      </c>
      <c r="H26" s="6">
        <f t="shared" si="2"/>
        <v>372000</v>
      </c>
      <c r="I26" s="6">
        <f t="shared" si="3"/>
        <v>93000</v>
      </c>
    </row>
    <row r="27" spans="1:9" ht="15.75" thickBot="1" x14ac:dyDescent="0.3">
      <c r="A27" s="8" t="s">
        <v>39</v>
      </c>
      <c r="B27" s="5" t="s">
        <v>15</v>
      </c>
      <c r="C27" s="5" t="s">
        <v>16</v>
      </c>
      <c r="D27" s="5" t="s">
        <v>29</v>
      </c>
      <c r="E27" s="5">
        <v>143</v>
      </c>
      <c r="F27" s="6">
        <f t="shared" si="0"/>
        <v>600</v>
      </c>
      <c r="G27" s="6">
        <f t="shared" si="1"/>
        <v>400</v>
      </c>
      <c r="H27" s="6">
        <f t="shared" si="2"/>
        <v>85800</v>
      </c>
      <c r="I27" s="6">
        <f t="shared" si="3"/>
        <v>28600</v>
      </c>
    </row>
    <row r="28" spans="1:9" ht="15.75" thickBot="1" x14ac:dyDescent="0.3">
      <c r="A28" s="8" t="s">
        <v>40</v>
      </c>
      <c r="B28" s="5" t="s">
        <v>25</v>
      </c>
      <c r="C28" s="5" t="s">
        <v>10</v>
      </c>
      <c r="D28" s="5" t="s">
        <v>14</v>
      </c>
      <c r="E28" s="5">
        <v>143</v>
      </c>
      <c r="F28" s="6">
        <f t="shared" si="0"/>
        <v>3500</v>
      </c>
      <c r="G28" s="6">
        <f t="shared" si="1"/>
        <v>2500</v>
      </c>
      <c r="H28" s="6">
        <f t="shared" si="2"/>
        <v>500500</v>
      </c>
      <c r="I28" s="6">
        <f t="shared" si="3"/>
        <v>143000</v>
      </c>
    </row>
    <row r="29" spans="1:9" ht="15.75" thickBot="1" x14ac:dyDescent="0.3">
      <c r="A29" s="8" t="s">
        <v>41</v>
      </c>
      <c r="B29" s="5" t="s">
        <v>28</v>
      </c>
      <c r="C29" s="5" t="s">
        <v>19</v>
      </c>
      <c r="D29" s="5" t="s">
        <v>29</v>
      </c>
      <c r="E29" s="5">
        <v>99</v>
      </c>
      <c r="F29" s="6">
        <f t="shared" si="0"/>
        <v>600</v>
      </c>
      <c r="G29" s="6">
        <f t="shared" si="1"/>
        <v>400</v>
      </c>
      <c r="H29" s="6">
        <f t="shared" si="2"/>
        <v>59400</v>
      </c>
      <c r="I29" s="6">
        <f t="shared" si="3"/>
        <v>19800</v>
      </c>
    </row>
    <row r="30" spans="1:9" ht="15.75" thickBot="1" x14ac:dyDescent="0.3">
      <c r="A30" s="8" t="s">
        <v>42</v>
      </c>
      <c r="B30" s="5" t="s">
        <v>18</v>
      </c>
      <c r="C30" s="5" t="s">
        <v>10</v>
      </c>
      <c r="D30" s="5" t="s">
        <v>20</v>
      </c>
      <c r="E30" s="5">
        <v>120</v>
      </c>
      <c r="F30" s="6">
        <f t="shared" si="0"/>
        <v>1000</v>
      </c>
      <c r="G30" s="6">
        <f t="shared" si="1"/>
        <v>700</v>
      </c>
      <c r="H30" s="6">
        <f t="shared" si="2"/>
        <v>120000</v>
      </c>
      <c r="I30" s="6">
        <f t="shared" si="3"/>
        <v>36000</v>
      </c>
    </row>
    <row r="31" spans="1:9" ht="15.75" thickBot="1" x14ac:dyDescent="0.3">
      <c r="A31" s="8" t="s">
        <v>43</v>
      </c>
      <c r="B31" s="5" t="s">
        <v>12</v>
      </c>
      <c r="C31" s="5" t="s">
        <v>16</v>
      </c>
      <c r="D31" s="5" t="s">
        <v>14</v>
      </c>
      <c r="E31" s="5">
        <v>66</v>
      </c>
      <c r="F31" s="6">
        <f t="shared" si="0"/>
        <v>3500</v>
      </c>
      <c r="G31" s="6">
        <f t="shared" si="1"/>
        <v>2500</v>
      </c>
      <c r="H31" s="6">
        <f t="shared" si="2"/>
        <v>231000</v>
      </c>
      <c r="I31" s="6">
        <f t="shared" si="3"/>
        <v>66000</v>
      </c>
    </row>
    <row r="32" spans="1:9" ht="15.75" thickBot="1" x14ac:dyDescent="0.3">
      <c r="A32" s="8" t="s">
        <v>44</v>
      </c>
      <c r="B32" s="5" t="s">
        <v>28</v>
      </c>
      <c r="C32" s="5" t="s">
        <v>19</v>
      </c>
      <c r="D32" s="5" t="s">
        <v>17</v>
      </c>
      <c r="E32" s="5">
        <v>88</v>
      </c>
      <c r="F32" s="6">
        <f t="shared" si="0"/>
        <v>1200</v>
      </c>
      <c r="G32" s="6">
        <f t="shared" si="1"/>
        <v>800</v>
      </c>
      <c r="H32" s="6">
        <f t="shared" si="2"/>
        <v>105600</v>
      </c>
      <c r="I32" s="6">
        <f t="shared" si="3"/>
        <v>35200</v>
      </c>
    </row>
    <row r="33" spans="1:9" ht="15.75" thickBot="1" x14ac:dyDescent="0.3">
      <c r="A33" s="8" t="s">
        <v>45</v>
      </c>
      <c r="B33" s="5" t="s">
        <v>18</v>
      </c>
      <c r="C33" s="5" t="s">
        <v>13</v>
      </c>
      <c r="D33" s="5" t="s">
        <v>36</v>
      </c>
      <c r="E33" s="5">
        <v>127</v>
      </c>
      <c r="F33" s="6">
        <f t="shared" si="0"/>
        <v>10000</v>
      </c>
      <c r="G33" s="6">
        <f t="shared" si="1"/>
        <v>7000</v>
      </c>
      <c r="H33" s="6">
        <f t="shared" si="2"/>
        <v>1270000</v>
      </c>
      <c r="I33" s="6">
        <f t="shared" si="3"/>
        <v>381000</v>
      </c>
    </row>
    <row r="34" spans="1:9" ht="15.75" thickBot="1" x14ac:dyDescent="0.3">
      <c r="A34" s="8" t="s">
        <v>46</v>
      </c>
      <c r="B34" s="5" t="s">
        <v>22</v>
      </c>
      <c r="C34" s="5" t="s">
        <v>10</v>
      </c>
      <c r="D34" s="5" t="s">
        <v>23</v>
      </c>
      <c r="E34" s="5">
        <v>67</v>
      </c>
      <c r="F34" s="6">
        <f t="shared" si="0"/>
        <v>4000</v>
      </c>
      <c r="G34" s="6">
        <f t="shared" si="1"/>
        <v>3000</v>
      </c>
      <c r="H34" s="6">
        <f t="shared" si="2"/>
        <v>268000</v>
      </c>
      <c r="I34" s="6">
        <f t="shared" si="3"/>
        <v>67000</v>
      </c>
    </row>
    <row r="35" spans="1:9" ht="15.75" thickBot="1" x14ac:dyDescent="0.3">
      <c r="A35" s="9">
        <v>44359</v>
      </c>
      <c r="B35" s="5" t="s">
        <v>12</v>
      </c>
      <c r="C35" s="5" t="s">
        <v>13</v>
      </c>
      <c r="D35" s="5" t="s">
        <v>17</v>
      </c>
      <c r="E35" s="5">
        <v>67</v>
      </c>
      <c r="F35" s="6">
        <f t="shared" si="0"/>
        <v>1200</v>
      </c>
      <c r="G35" s="6">
        <f t="shared" si="1"/>
        <v>800</v>
      </c>
      <c r="H35" s="6">
        <f t="shared" si="2"/>
        <v>80400</v>
      </c>
      <c r="I35" s="6">
        <f t="shared" si="3"/>
        <v>26800</v>
      </c>
    </row>
    <row r="36" spans="1:9" ht="15.75" thickBot="1" x14ac:dyDescent="0.3">
      <c r="A36" s="8" t="s">
        <v>47</v>
      </c>
      <c r="B36" s="5" t="s">
        <v>30</v>
      </c>
      <c r="C36" s="5" t="s">
        <v>16</v>
      </c>
      <c r="D36" s="5" t="s">
        <v>20</v>
      </c>
      <c r="E36" s="5">
        <v>149</v>
      </c>
      <c r="F36" s="6">
        <f t="shared" si="0"/>
        <v>1000</v>
      </c>
      <c r="G36" s="6">
        <f t="shared" si="1"/>
        <v>700</v>
      </c>
      <c r="H36" s="6">
        <f t="shared" si="2"/>
        <v>149000</v>
      </c>
      <c r="I36" s="6">
        <f t="shared" si="3"/>
        <v>44700</v>
      </c>
    </row>
    <row r="37" spans="1:9" ht="15.75" thickBot="1" x14ac:dyDescent="0.3">
      <c r="A37" s="9">
        <v>44203</v>
      </c>
      <c r="B37" s="5" t="s">
        <v>22</v>
      </c>
      <c r="C37" s="5" t="s">
        <v>19</v>
      </c>
      <c r="D37" s="5" t="s">
        <v>29</v>
      </c>
      <c r="E37" s="5">
        <v>104</v>
      </c>
      <c r="F37" s="6">
        <f t="shared" si="0"/>
        <v>600</v>
      </c>
      <c r="G37" s="6">
        <f t="shared" si="1"/>
        <v>400</v>
      </c>
      <c r="H37" s="6">
        <f t="shared" si="2"/>
        <v>62400</v>
      </c>
      <c r="I37" s="6">
        <f t="shared" si="3"/>
        <v>20800</v>
      </c>
    </row>
    <row r="38" spans="1:9" ht="15.75" thickBot="1" x14ac:dyDescent="0.3">
      <c r="A38" s="8" t="s">
        <v>32</v>
      </c>
      <c r="B38" s="5" t="s">
        <v>26</v>
      </c>
      <c r="C38" s="5" t="s">
        <v>10</v>
      </c>
      <c r="D38" s="5" t="s">
        <v>29</v>
      </c>
      <c r="E38" s="5">
        <v>57</v>
      </c>
      <c r="F38" s="6">
        <f t="shared" si="0"/>
        <v>600</v>
      </c>
      <c r="G38" s="6">
        <f t="shared" si="1"/>
        <v>400</v>
      </c>
      <c r="H38" s="6">
        <f t="shared" si="2"/>
        <v>34200</v>
      </c>
      <c r="I38" s="6">
        <f t="shared" si="3"/>
        <v>11400</v>
      </c>
    </row>
    <row r="39" spans="1:9" ht="15.75" thickBot="1" x14ac:dyDescent="0.3">
      <c r="A39" s="9">
        <v>43961</v>
      </c>
      <c r="B39" s="5" t="s">
        <v>15</v>
      </c>
      <c r="C39" s="5" t="s">
        <v>13</v>
      </c>
      <c r="D39" s="5" t="s">
        <v>29</v>
      </c>
      <c r="E39" s="5">
        <v>90</v>
      </c>
      <c r="F39" s="6">
        <f t="shared" si="0"/>
        <v>600</v>
      </c>
      <c r="G39" s="6">
        <f t="shared" si="1"/>
        <v>400</v>
      </c>
      <c r="H39" s="6">
        <f t="shared" si="2"/>
        <v>54000</v>
      </c>
      <c r="I39" s="6">
        <f t="shared" si="3"/>
        <v>18000</v>
      </c>
    </row>
    <row r="40" spans="1:9" ht="15.75" thickBot="1" x14ac:dyDescent="0.3">
      <c r="A40" s="9">
        <v>43870</v>
      </c>
      <c r="B40" s="5" t="s">
        <v>24</v>
      </c>
      <c r="C40" s="5" t="s">
        <v>16</v>
      </c>
      <c r="D40" s="5" t="s">
        <v>29</v>
      </c>
      <c r="E40" s="5">
        <v>67</v>
      </c>
      <c r="F40" s="6">
        <f t="shared" si="0"/>
        <v>600</v>
      </c>
      <c r="G40" s="6">
        <f t="shared" si="1"/>
        <v>400</v>
      </c>
      <c r="H40" s="6">
        <f t="shared" si="2"/>
        <v>40200</v>
      </c>
      <c r="I40" s="6">
        <f t="shared" si="3"/>
        <v>13400</v>
      </c>
    </row>
    <row r="41" spans="1:9" ht="15.75" thickBot="1" x14ac:dyDescent="0.3">
      <c r="A41" s="9">
        <v>44236</v>
      </c>
      <c r="B41" s="5" t="s">
        <v>9</v>
      </c>
      <c r="C41" s="5" t="s">
        <v>19</v>
      </c>
      <c r="D41" s="5" t="s">
        <v>23</v>
      </c>
      <c r="E41" s="5">
        <v>127</v>
      </c>
      <c r="F41" s="6">
        <f t="shared" si="0"/>
        <v>4000</v>
      </c>
      <c r="G41" s="6">
        <f t="shared" si="1"/>
        <v>3000</v>
      </c>
      <c r="H41" s="6">
        <f t="shared" si="2"/>
        <v>508000</v>
      </c>
      <c r="I41" s="6">
        <f t="shared" si="3"/>
        <v>127000</v>
      </c>
    </row>
    <row r="42" spans="1:9" ht="15.75" thickBot="1" x14ac:dyDescent="0.3">
      <c r="A42" s="8" t="s">
        <v>48</v>
      </c>
      <c r="B42" s="5" t="s">
        <v>24</v>
      </c>
      <c r="C42" s="5" t="s">
        <v>10</v>
      </c>
      <c r="D42" s="5" t="s">
        <v>20</v>
      </c>
      <c r="E42" s="5">
        <v>108</v>
      </c>
      <c r="F42" s="6">
        <f t="shared" si="0"/>
        <v>1000</v>
      </c>
      <c r="G42" s="6">
        <f t="shared" si="1"/>
        <v>700</v>
      </c>
      <c r="H42" s="6">
        <f t="shared" si="2"/>
        <v>108000</v>
      </c>
      <c r="I42" s="6">
        <f t="shared" si="3"/>
        <v>32400</v>
      </c>
    </row>
    <row r="43" spans="1:9" ht="15.75" thickBot="1" x14ac:dyDescent="0.3">
      <c r="A43" s="9">
        <v>44352</v>
      </c>
      <c r="B43" s="5" t="s">
        <v>15</v>
      </c>
      <c r="C43" s="5" t="s">
        <v>13</v>
      </c>
      <c r="D43" s="5" t="s">
        <v>14</v>
      </c>
      <c r="E43" s="5">
        <v>66</v>
      </c>
      <c r="F43" s="6">
        <f t="shared" si="0"/>
        <v>3500</v>
      </c>
      <c r="G43" s="6">
        <f t="shared" si="1"/>
        <v>2500</v>
      </c>
      <c r="H43" s="6">
        <f t="shared" si="2"/>
        <v>231000</v>
      </c>
      <c r="I43" s="6">
        <f t="shared" si="3"/>
        <v>66000</v>
      </c>
    </row>
    <row r="44" spans="1:9" ht="15.75" thickBot="1" x14ac:dyDescent="0.3">
      <c r="A44" s="8" t="s">
        <v>49</v>
      </c>
      <c r="B44" s="5" t="s">
        <v>9</v>
      </c>
      <c r="C44" s="5" t="s">
        <v>19</v>
      </c>
      <c r="D44" s="5" t="s">
        <v>11</v>
      </c>
      <c r="E44" s="5">
        <v>78</v>
      </c>
      <c r="F44" s="6">
        <f t="shared" si="0"/>
        <v>6000</v>
      </c>
      <c r="G44" s="6">
        <f t="shared" si="1"/>
        <v>4000</v>
      </c>
      <c r="H44" s="6">
        <f t="shared" si="2"/>
        <v>468000</v>
      </c>
      <c r="I44" s="6">
        <f t="shared" si="3"/>
        <v>156000</v>
      </c>
    </row>
    <row r="45" spans="1:9" ht="15.75" thickBot="1" x14ac:dyDescent="0.3">
      <c r="A45" s="8" t="s">
        <v>35</v>
      </c>
      <c r="B45" s="5" t="s">
        <v>26</v>
      </c>
      <c r="C45" s="5" t="s">
        <v>16</v>
      </c>
      <c r="D45" s="5" t="s">
        <v>20</v>
      </c>
      <c r="E45" s="5">
        <v>69</v>
      </c>
      <c r="F45" s="6">
        <f t="shared" si="0"/>
        <v>1000</v>
      </c>
      <c r="G45" s="6">
        <f t="shared" si="1"/>
        <v>700</v>
      </c>
      <c r="H45" s="6">
        <f t="shared" si="2"/>
        <v>69000</v>
      </c>
      <c r="I45" s="6">
        <f t="shared" si="3"/>
        <v>20700</v>
      </c>
    </row>
    <row r="46" spans="1:9" ht="15.75" thickBot="1" x14ac:dyDescent="0.3">
      <c r="A46" s="9">
        <v>44318</v>
      </c>
      <c r="B46" s="5" t="s">
        <v>22</v>
      </c>
      <c r="C46" s="5" t="s">
        <v>10</v>
      </c>
      <c r="D46" s="5" t="s">
        <v>17</v>
      </c>
      <c r="E46" s="5">
        <v>59</v>
      </c>
      <c r="F46" s="6">
        <f t="shared" si="0"/>
        <v>1200</v>
      </c>
      <c r="G46" s="6">
        <f t="shared" si="1"/>
        <v>800</v>
      </c>
      <c r="H46" s="6">
        <f t="shared" si="2"/>
        <v>70800</v>
      </c>
      <c r="I46" s="6">
        <f t="shared" si="3"/>
        <v>23600</v>
      </c>
    </row>
    <row r="47" spans="1:9" ht="15.75" thickBot="1" x14ac:dyDescent="0.3">
      <c r="A47" s="8" t="s">
        <v>50</v>
      </c>
      <c r="B47" s="5" t="s">
        <v>30</v>
      </c>
      <c r="C47" s="5" t="s">
        <v>16</v>
      </c>
      <c r="D47" s="5" t="s">
        <v>29</v>
      </c>
      <c r="E47" s="5">
        <v>109</v>
      </c>
      <c r="F47" s="6">
        <f t="shared" si="0"/>
        <v>600</v>
      </c>
      <c r="G47" s="6">
        <f t="shared" si="1"/>
        <v>400</v>
      </c>
      <c r="H47" s="6">
        <f t="shared" si="2"/>
        <v>65400</v>
      </c>
      <c r="I47" s="6">
        <f t="shared" si="3"/>
        <v>21800</v>
      </c>
    </row>
    <row r="48" spans="1:9" ht="15.75" thickBot="1" x14ac:dyDescent="0.3">
      <c r="A48" s="8" t="s">
        <v>51</v>
      </c>
      <c r="B48" s="5" t="s">
        <v>28</v>
      </c>
      <c r="C48" s="5" t="s">
        <v>13</v>
      </c>
      <c r="D48" s="5" t="s">
        <v>23</v>
      </c>
      <c r="E48" s="5">
        <v>61</v>
      </c>
      <c r="F48" s="6">
        <f t="shared" si="0"/>
        <v>4000</v>
      </c>
      <c r="G48" s="6">
        <f t="shared" si="1"/>
        <v>3000</v>
      </c>
      <c r="H48" s="6">
        <f t="shared" si="2"/>
        <v>244000</v>
      </c>
      <c r="I48" s="6">
        <f t="shared" si="3"/>
        <v>61000</v>
      </c>
    </row>
    <row r="49" spans="1:9" ht="15.75" thickBot="1" x14ac:dyDescent="0.3">
      <c r="A49" s="8" t="s">
        <v>41</v>
      </c>
      <c r="B49" s="5" t="s">
        <v>22</v>
      </c>
      <c r="C49" s="5" t="s">
        <v>19</v>
      </c>
      <c r="D49" s="5" t="s">
        <v>29</v>
      </c>
      <c r="E49" s="5">
        <v>130</v>
      </c>
      <c r="F49" s="6">
        <f t="shared" si="0"/>
        <v>600</v>
      </c>
      <c r="G49" s="6">
        <f t="shared" si="1"/>
        <v>400</v>
      </c>
      <c r="H49" s="6">
        <f t="shared" si="2"/>
        <v>78000</v>
      </c>
      <c r="I49" s="6">
        <f t="shared" si="3"/>
        <v>26000</v>
      </c>
    </row>
    <row r="50" spans="1:9" ht="15.75" thickBot="1" x14ac:dyDescent="0.3">
      <c r="A50" s="9">
        <v>44238</v>
      </c>
      <c r="B50" s="5" t="s">
        <v>18</v>
      </c>
      <c r="C50" s="5" t="s">
        <v>16</v>
      </c>
      <c r="D50" s="5" t="s">
        <v>14</v>
      </c>
      <c r="E50" s="5">
        <v>60</v>
      </c>
      <c r="F50" s="6">
        <f t="shared" si="0"/>
        <v>3500</v>
      </c>
      <c r="G50" s="6">
        <f t="shared" si="1"/>
        <v>2500</v>
      </c>
      <c r="H50" s="6">
        <f t="shared" si="2"/>
        <v>210000</v>
      </c>
      <c r="I50" s="6">
        <f t="shared" si="3"/>
        <v>60000</v>
      </c>
    </row>
    <row r="51" spans="1:9" ht="15.75" thickBot="1" x14ac:dyDescent="0.3">
      <c r="A51" s="9">
        <v>44017</v>
      </c>
      <c r="B51" s="5" t="s">
        <v>12</v>
      </c>
      <c r="C51" s="5" t="s">
        <v>13</v>
      </c>
      <c r="D51" s="5" t="s">
        <v>11</v>
      </c>
      <c r="E51" s="5">
        <v>73</v>
      </c>
      <c r="F51" s="6">
        <f t="shared" si="0"/>
        <v>6000</v>
      </c>
      <c r="G51" s="6">
        <f t="shared" si="1"/>
        <v>4000</v>
      </c>
      <c r="H51" s="6">
        <f t="shared" si="2"/>
        <v>438000</v>
      </c>
      <c r="I51" s="6">
        <f t="shared" si="3"/>
        <v>146000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BE7FF-EEFA-4CA5-9769-42E0C397108E}">
  <dimension ref="A1:U52"/>
  <sheetViews>
    <sheetView showGridLines="0" zoomScale="89" workbookViewId="0">
      <selection activeCell="Q15" sqref="Q15"/>
    </sheetView>
  </sheetViews>
  <sheetFormatPr defaultRowHeight="15" x14ac:dyDescent="0.25"/>
  <cols>
    <col min="1" max="1" width="13.42578125" bestFit="1" customWidth="1"/>
    <col min="2" max="2" width="17.7109375" bestFit="1" customWidth="1"/>
    <col min="4" max="4" width="13.42578125" bestFit="1" customWidth="1"/>
    <col min="5" max="5" width="17.7109375" bestFit="1" customWidth="1"/>
    <col min="9" max="9" width="21.7109375" bestFit="1" customWidth="1"/>
    <col min="10" max="10" width="22.85546875" bestFit="1" customWidth="1"/>
    <col min="12" max="12" width="14.85546875" bestFit="1" customWidth="1"/>
    <col min="13" max="13" width="20" bestFit="1" customWidth="1"/>
    <col min="16" max="16" width="13" bestFit="1" customWidth="1"/>
    <col min="20" max="20" width="13.42578125" bestFit="1" customWidth="1"/>
    <col min="21" max="21" width="20.85546875" bestFit="1" customWidth="1"/>
  </cols>
  <sheetData>
    <row r="1" spans="1:21" x14ac:dyDescent="0.25">
      <c r="A1" s="10" t="s">
        <v>57</v>
      </c>
      <c r="B1" t="s">
        <v>58</v>
      </c>
      <c r="D1" s="10" t="s">
        <v>57</v>
      </c>
      <c r="E1" t="s">
        <v>59</v>
      </c>
    </row>
    <row r="2" spans="1:21" x14ac:dyDescent="0.25">
      <c r="A2" s="11" t="s">
        <v>13</v>
      </c>
      <c r="B2" s="1">
        <v>3534400</v>
      </c>
      <c r="D2" s="11" t="s">
        <v>17</v>
      </c>
      <c r="E2">
        <v>456</v>
      </c>
    </row>
    <row r="3" spans="1:21" x14ac:dyDescent="0.25">
      <c r="A3" s="11" t="s">
        <v>19</v>
      </c>
      <c r="B3" s="1">
        <v>2661400</v>
      </c>
      <c r="D3" s="11" t="s">
        <v>14</v>
      </c>
      <c r="E3">
        <v>635</v>
      </c>
      <c r="P3" t="s">
        <v>61</v>
      </c>
    </row>
    <row r="4" spans="1:21" x14ac:dyDescent="0.25">
      <c r="A4" s="11" t="s">
        <v>16</v>
      </c>
      <c r="B4" s="1">
        <v>2870600</v>
      </c>
      <c r="D4" s="11" t="s">
        <v>29</v>
      </c>
      <c r="E4">
        <v>1178</v>
      </c>
      <c r="P4" s="1">
        <v>3834400</v>
      </c>
    </row>
    <row r="5" spans="1:21" x14ac:dyDescent="0.25">
      <c r="A5" s="11" t="s">
        <v>10</v>
      </c>
      <c r="B5" s="1">
        <v>3878100</v>
      </c>
      <c r="D5" s="11" t="s">
        <v>20</v>
      </c>
      <c r="E5">
        <v>898</v>
      </c>
    </row>
    <row r="6" spans="1:21" x14ac:dyDescent="0.25">
      <c r="A6" s="11" t="s">
        <v>53</v>
      </c>
      <c r="B6" s="1">
        <v>12944500</v>
      </c>
      <c r="D6" s="11" t="s">
        <v>36</v>
      </c>
      <c r="E6">
        <v>235</v>
      </c>
    </row>
    <row r="7" spans="1:21" x14ac:dyDescent="0.25">
      <c r="D7" s="11" t="s">
        <v>23</v>
      </c>
      <c r="E7">
        <v>799</v>
      </c>
    </row>
    <row r="8" spans="1:21" x14ac:dyDescent="0.25">
      <c r="D8" s="11" t="s">
        <v>11</v>
      </c>
      <c r="E8">
        <v>504</v>
      </c>
      <c r="T8" s="10" t="s">
        <v>57</v>
      </c>
      <c r="U8" t="s">
        <v>60</v>
      </c>
    </row>
    <row r="9" spans="1:21" x14ac:dyDescent="0.25">
      <c r="D9" s="11" t="s">
        <v>53</v>
      </c>
      <c r="E9">
        <v>4705</v>
      </c>
      <c r="T9" s="11" t="s">
        <v>13</v>
      </c>
      <c r="U9" s="1">
        <v>294533.33333333331</v>
      </c>
    </row>
    <row r="10" spans="1:21" x14ac:dyDescent="0.25">
      <c r="T10" s="11" t="s">
        <v>19</v>
      </c>
      <c r="U10" s="1">
        <v>241945.45454545456</v>
      </c>
    </row>
    <row r="11" spans="1:21" x14ac:dyDescent="0.25">
      <c r="A11" s="10" t="s">
        <v>57</v>
      </c>
      <c r="B11" t="s">
        <v>58</v>
      </c>
      <c r="D11" s="10" t="s">
        <v>57</v>
      </c>
      <c r="E11" t="s">
        <v>58</v>
      </c>
      <c r="T11" s="11" t="s">
        <v>16</v>
      </c>
      <c r="U11" s="1">
        <v>191373.33333333334</v>
      </c>
    </row>
    <row r="12" spans="1:21" x14ac:dyDescent="0.25">
      <c r="A12" s="11" t="s">
        <v>17</v>
      </c>
      <c r="B12" s="1">
        <v>547200</v>
      </c>
      <c r="D12" s="11" t="s">
        <v>9</v>
      </c>
      <c r="E12" s="1">
        <v>1591600</v>
      </c>
      <c r="T12" s="11" t="s">
        <v>10</v>
      </c>
      <c r="U12" s="1">
        <v>323175</v>
      </c>
    </row>
    <row r="13" spans="1:21" x14ac:dyDescent="0.25">
      <c r="A13" s="11" t="s">
        <v>14</v>
      </c>
      <c r="B13" s="1">
        <v>2222500</v>
      </c>
      <c r="D13" s="11" t="s">
        <v>28</v>
      </c>
      <c r="E13" s="1">
        <v>677600</v>
      </c>
      <c r="T13" s="11" t="s">
        <v>53</v>
      </c>
      <c r="U13" s="1">
        <v>258890</v>
      </c>
    </row>
    <row r="14" spans="1:21" x14ac:dyDescent="0.25">
      <c r="A14" s="11" t="s">
        <v>29</v>
      </c>
      <c r="B14" s="1">
        <v>706800</v>
      </c>
      <c r="D14" s="11" t="s">
        <v>18</v>
      </c>
      <c r="E14" s="1">
        <v>1957000</v>
      </c>
    </row>
    <row r="15" spans="1:21" x14ac:dyDescent="0.25">
      <c r="A15" s="11" t="s">
        <v>20</v>
      </c>
      <c r="B15" s="1">
        <v>898000</v>
      </c>
      <c r="D15" s="11" t="s">
        <v>24</v>
      </c>
      <c r="E15" s="1">
        <v>1661400</v>
      </c>
    </row>
    <row r="16" spans="1:21" x14ac:dyDescent="0.25">
      <c r="A16" s="11" t="s">
        <v>36</v>
      </c>
      <c r="B16" s="1">
        <v>2350000</v>
      </c>
      <c r="D16" s="11" t="s">
        <v>26</v>
      </c>
      <c r="E16" s="1">
        <v>1741200</v>
      </c>
    </row>
    <row r="17" spans="1:5" x14ac:dyDescent="0.25">
      <c r="A17" s="11" t="s">
        <v>23</v>
      </c>
      <c r="B17" s="1">
        <v>3196000</v>
      </c>
      <c r="D17" s="11" t="s">
        <v>15</v>
      </c>
      <c r="E17" s="1">
        <v>1110000</v>
      </c>
    </row>
    <row r="18" spans="1:5" x14ac:dyDescent="0.25">
      <c r="A18" s="11" t="s">
        <v>11</v>
      </c>
      <c r="B18" s="1">
        <v>3024000</v>
      </c>
      <c r="D18" s="11" t="s">
        <v>12</v>
      </c>
      <c r="E18" s="1">
        <v>1777400</v>
      </c>
    </row>
    <row r="19" spans="1:5" x14ac:dyDescent="0.25">
      <c r="A19" s="11" t="s">
        <v>53</v>
      </c>
      <c r="B19" s="1">
        <v>12944500</v>
      </c>
      <c r="D19" s="11" t="s">
        <v>22</v>
      </c>
      <c r="E19" s="1">
        <v>1065400</v>
      </c>
    </row>
    <row r="20" spans="1:5" x14ac:dyDescent="0.25">
      <c r="D20" s="11" t="s">
        <v>30</v>
      </c>
      <c r="E20" s="1">
        <v>784400</v>
      </c>
    </row>
    <row r="21" spans="1:5" x14ac:dyDescent="0.25">
      <c r="D21" s="11" t="s">
        <v>25</v>
      </c>
      <c r="E21" s="1">
        <v>578500</v>
      </c>
    </row>
    <row r="22" spans="1:5" x14ac:dyDescent="0.25">
      <c r="D22" s="11" t="s">
        <v>53</v>
      </c>
      <c r="E22" s="1">
        <v>12944500</v>
      </c>
    </row>
    <row r="48" spans="9:10" x14ac:dyDescent="0.25">
      <c r="I48" s="14" t="s">
        <v>63</v>
      </c>
      <c r="J48" s="14" t="s">
        <v>64</v>
      </c>
    </row>
    <row r="49" spans="9:12" ht="15.75" x14ac:dyDescent="0.25">
      <c r="I49" s="15" t="s">
        <v>65</v>
      </c>
      <c r="J49" s="18">
        <f>GETPIVOTDATA("Total Sales",$A$1)</f>
        <v>12944500</v>
      </c>
    </row>
    <row r="50" spans="9:12" x14ac:dyDescent="0.25">
      <c r="I50" s="16" t="s">
        <v>66</v>
      </c>
      <c r="J50" s="18">
        <f>GETPIVOTDATA("Total Sales",$T$8)</f>
        <v>258890</v>
      </c>
    </row>
    <row r="51" spans="9:12" ht="15.75" x14ac:dyDescent="0.25">
      <c r="I51" s="17" t="s">
        <v>67</v>
      </c>
      <c r="J51" s="14">
        <f>GETPIVOTDATA("Units Sold",$D$1)</f>
        <v>4705</v>
      </c>
      <c r="L51" t="s">
        <v>62</v>
      </c>
    </row>
    <row r="52" spans="9:12" ht="15.75" x14ac:dyDescent="0.25">
      <c r="I52" s="15" t="s">
        <v>68</v>
      </c>
      <c r="J52" s="18">
        <f>GETPIVOTDATA("Profit",$P$3)</f>
        <v>3834400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srajeshmanibeece0133@outlook.com</dc:creator>
  <cp:lastModifiedBy>Rajesh mani</cp:lastModifiedBy>
  <dcterms:created xsi:type="dcterms:W3CDTF">2026-09-08T04:32:35Z</dcterms:created>
  <dcterms:modified xsi:type="dcterms:W3CDTF">2026-10-08T14:33:09Z</dcterms:modified>
</cp:coreProperties>
</file>